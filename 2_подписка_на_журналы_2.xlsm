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tgor\YandexDisk\Объёмные объекты\ПРОЕКТЫ - ПетрГУ\1 курс, 1 семестр\Офисные технологии\Лабораторная работа 3\"/>
    </mc:Choice>
  </mc:AlternateContent>
  <xr:revisionPtr revIDLastSave="0" documentId="13_ncr:1_{F8D38F0C-ED84-44E7-8286-92DE29BF3C01}" xr6:coauthVersionLast="47" xr6:coauthVersionMax="47" xr10:uidLastSave="{00000000-0000-0000-0000-000000000000}"/>
  <bookViews>
    <workbookView xWindow="-108" yWindow="-108" windowWidth="23256" windowHeight="12720" activeTab="2" xr2:uid="{00000000-000D-0000-FFFF-FFFF00000000}"/>
  </bookViews>
  <sheets>
    <sheet name="Полный каталог изданий" sheetId="5" r:id="rId1"/>
    <sheet name="Основной рабочий лист" sheetId="2" r:id="rId2"/>
    <sheet name="Сводная ведомость на оплату" sheetId="3" r:id="rId3"/>
  </sheets>
  <calcPr calcId="191029"/>
  <pivotCaches>
    <pivotCache cacheId="29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2" l="1"/>
  <c r="E27" i="2"/>
  <c r="H25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6" i="2"/>
  <c r="D7" i="2" l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6" i="2"/>
  <c r="H6" i="2"/>
  <c r="H19" i="2"/>
  <c r="H24" i="2"/>
  <c r="H23" i="2"/>
  <c r="H22" i="2"/>
  <c r="H21" i="2"/>
  <c r="H20" i="2"/>
  <c r="H18" i="2"/>
  <c r="H17" i="2"/>
  <c r="H16" i="2"/>
  <c r="H15" i="2"/>
  <c r="H14" i="2"/>
  <c r="H13" i="2"/>
  <c r="H12" i="2"/>
  <c r="H11" i="2"/>
  <c r="H10" i="2"/>
  <c r="H9" i="2"/>
  <c r="H8" i="2"/>
  <c r="H7" i="2"/>
</calcChain>
</file>

<file path=xl/sharedStrings.xml><?xml version="1.0" encoding="utf-8"?>
<sst xmlns="http://schemas.openxmlformats.org/spreadsheetml/2006/main" count="154" uniqueCount="68">
  <si>
    <t>Алексей Кузьмин</t>
  </si>
  <si>
    <t>Наталья Мельникова</t>
  </si>
  <si>
    <t>Даниил Смирнов</t>
  </si>
  <si>
    <t>Тимофей Власов</t>
  </si>
  <si>
    <t>Варвара Борисова</t>
  </si>
  <si>
    <t>Михаил Нестеров</t>
  </si>
  <si>
    <t>Дмитрий Зиновьев</t>
  </si>
  <si>
    <t>Алёна Иванова</t>
  </si>
  <si>
    <t>Ева Ерофеева</t>
  </si>
  <si>
    <t>Мария Кузьмина</t>
  </si>
  <si>
    <t>Александр Афанасьев</t>
  </si>
  <si>
    <t>Али Волков</t>
  </si>
  <si>
    <t>Ольга Дмитриева</t>
  </si>
  <si>
    <t>Мария Андреева</t>
  </si>
  <si>
    <t>Сергей Титов</t>
  </si>
  <si>
    <t>Марк Козлов</t>
  </si>
  <si>
    <t>Виктория Исакова</t>
  </si>
  <si>
    <t>Софья Соловьева</t>
  </si>
  <si>
    <t>Екатерина Соколова</t>
  </si>
  <si>
    <t>Дмитрий Петровский</t>
  </si>
  <si>
    <t>ФАМИЛИЯ И ИМЯ ПОДПИСЧИКА</t>
  </si>
  <si>
    <t>НАИМЕНОВАНИЕ ИЗДАНИЯ, НА КОТОРОЕ ПОДПИСАЛСЯ КЛИЕНТ</t>
  </si>
  <si>
    <t xml:space="preserve">ИНДЕКС </t>
  </si>
  <si>
    <t>МЕСЯЦ НАЧАЛА ПОДПИСКИ</t>
  </si>
  <si>
    <t>МЕСЯЦ ОКОНЧАНИЯ ПОДПИСКИ</t>
  </si>
  <si>
    <t>ПРОДОЛЖИТЕЛЬНОСТЬ ПОДПИСКИ В МЕСЯЦАХ</t>
  </si>
  <si>
    <t>СТОИМОСТЬ ПОДПИСКИ НА ДАННОЕ ИЗДАНИЕ С УЧЕТОМ СКИДОК</t>
  </si>
  <si>
    <t>Властелин колец</t>
  </si>
  <si>
    <t>Гордость и предубеждение</t>
  </si>
  <si>
    <t>Тёмные начала</t>
  </si>
  <si>
    <t>Автостопом по галактике</t>
  </si>
  <si>
    <t>Гарри Поттер и Кубок огня</t>
  </si>
  <si>
    <t>Убить пересмешника</t>
  </si>
  <si>
    <t>Винни Пух</t>
  </si>
  <si>
    <t>Лев, колдунья и платяной шкаф</t>
  </si>
  <si>
    <t>Джейн Эйр</t>
  </si>
  <si>
    <t>Уловка-22</t>
  </si>
  <si>
    <t>Грозовой перевал</t>
  </si>
  <si>
    <t>Пение птиц</t>
  </si>
  <si>
    <t>Ребекка</t>
  </si>
  <si>
    <t>Над пропастью во ржи</t>
  </si>
  <si>
    <t>Ветер в ивах</t>
  </si>
  <si>
    <t>Большие надежды</t>
  </si>
  <si>
    <t>Маленькие женщины</t>
  </si>
  <si>
    <t>ВЕДОМОСТЬ ПОДПИСЧИКОВ НА 2021</t>
  </si>
  <si>
    <t>март</t>
  </si>
  <si>
    <t>май</t>
  </si>
  <si>
    <t>апрель</t>
  </si>
  <si>
    <t>ноябрь</t>
  </si>
  <si>
    <t>сентябрь</t>
  </si>
  <si>
    <t>январь</t>
  </si>
  <si>
    <t>октябрь</t>
  </si>
  <si>
    <t>июнь</t>
  </si>
  <si>
    <t>июль</t>
  </si>
  <si>
    <t>февраль</t>
  </si>
  <si>
    <t>декабрь</t>
  </si>
  <si>
    <t>Сведения об общей стоимости подписных изданий на данный момент времени:</t>
  </si>
  <si>
    <t>Cведения о количестве записей в подписной ведомости</t>
  </si>
  <si>
    <t>Полное наименование издания</t>
  </si>
  <si>
    <t>Индекс</t>
  </si>
  <si>
    <t>Стоимость одного номера журнала</t>
  </si>
  <si>
    <t>Предельная продолжительность подписки</t>
  </si>
  <si>
    <t>Размер скидки в процентах</t>
  </si>
  <si>
    <t>Общий итог</t>
  </si>
  <si>
    <t>август</t>
  </si>
  <si>
    <t xml:space="preserve">Продолжительность подписки </t>
  </si>
  <si>
    <t>Подписчик и подписное издание</t>
  </si>
  <si>
    <t>Стоимость подписки на издание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</si>
</sst>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₽&quot;;\-#,##0.00\ &quot;₽&quot;"/>
    <numFmt numFmtId="164" formatCode="#,##0.00\ &quot;₽&quot;"/>
  </numFmts>
  <fonts count="12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/>
    <xf numFmtId="0" fontId="0" fillId="0" borderId="0" xfId="0" applyFont="1" applyBorder="1" applyAlignment="1">
      <alignment wrapText="1"/>
    </xf>
    <xf numFmtId="0" fontId="3" fillId="0" borderId="0" xfId="0" applyFont="1" applyFill="1" applyAlignment="1">
      <alignment vertical="center" wrapText="1"/>
    </xf>
    <xf numFmtId="0" fontId="7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7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/>
    <xf numFmtId="0" fontId="2" fillId="0" borderId="0" xfId="0" applyFont="1" applyFill="1" applyBorder="1" applyAlignment="1"/>
    <xf numFmtId="0" fontId="8" fillId="0" borderId="0" xfId="0" applyFont="1" applyFill="1" applyBorder="1"/>
    <xf numFmtId="0" fontId="0" fillId="0" borderId="0" xfId="0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0" borderId="2" xfId="0" applyFill="1" applyBorder="1" applyAlignment="1"/>
    <xf numFmtId="0" fontId="0" fillId="0" borderId="2" xfId="0" applyFill="1" applyBorder="1" applyAlignment="1">
      <alignment horizontal="left"/>
    </xf>
    <xf numFmtId="0" fontId="0" fillId="0" borderId="4" xfId="0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vertical="center" wrapText="1"/>
    </xf>
    <xf numFmtId="164" fontId="0" fillId="0" borderId="0" xfId="0" applyNumberFormat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164" fontId="0" fillId="0" borderId="0" xfId="0" applyNumberFormat="1" applyFill="1" applyBorder="1" applyAlignment="1"/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>
      <alignment wrapText="1"/>
    </xf>
    <xf numFmtId="7" fontId="6" fillId="0" borderId="0" xfId="0" applyNumberFormat="1" applyFont="1" applyBorder="1" applyAlignment="1"/>
    <xf numFmtId="0" fontId="6" fillId="0" borderId="0" xfId="0" applyFont="1" applyBorder="1" applyAlignment="1"/>
    <xf numFmtId="0" fontId="3" fillId="0" borderId="0" xfId="0" applyFont="1" applyFill="1" applyAlignment="1">
      <alignment horizont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wrapText="1"/>
    </xf>
  </cellXfs>
  <cellStyles count="1">
    <cellStyle name="Обычный" xfId="0" builtinId="0"/>
  </cellStyles>
  <dxfs count="297"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b/>
      </font>
    </dxf>
    <dxf>
      <alignment horizontal="left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b/>
      </font>
    </dxf>
    <dxf>
      <alignment horizontal="left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alignment horizontal="left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alignment horizontal="left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alignment horizontal="left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alignment horizontal="left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</dxf>
    <dxf>
      <fill>
        <patternFill patternType="solid">
          <bgColor theme="3" tint="-0.249977111117893"/>
        </patternFill>
      </fill>
    </dxf>
    <dxf>
      <fill>
        <patternFill patternType="solid">
          <bgColor theme="3" tint="-0.249977111117893"/>
        </patternFill>
      </fill>
    </dxf>
    <dxf>
      <font>
        <color theme="0"/>
      </font>
    </dxf>
    <dxf>
      <font>
        <b/>
      </font>
    </dxf>
    <dxf>
      <alignment horizontal="left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3" tint="-0.249977111117893"/>
        </patternFill>
      </fill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ita Gordeev" refreshedDate="44538.88177349537" createdVersion="7" refreshedVersion="7" minRefreshableVersion="3" recordCount="20" xr:uid="{8F6142EE-4095-4DFB-8F1B-2AFCFF0B2683}">
  <cacheSource type="worksheet">
    <worksheetSource ref="B5:H25" sheet="Основной рабочий лист"/>
  </cacheSource>
  <cacheFields count="7">
    <cacheField name="ФАМИЛИЯ И ИМЯ ПОДПИСЧИКА" numFmtId="0">
      <sharedItems count="20">
        <s v="Алексей Кузьмин"/>
        <s v="Наталья Мельникова"/>
        <s v="Даниил Смирнов"/>
        <s v="Тимофей Власов"/>
        <s v="Варвара Борисова"/>
        <s v="Михаил Нестеров"/>
        <s v="Дмитрий Зиновьев"/>
        <s v="Алёна Иванова"/>
        <s v="Ева Ерофеева"/>
        <s v="Мария Кузьмина"/>
        <s v="Александр Афанасьев"/>
        <s v="Али Волков"/>
        <s v="Ольга Дмитриева"/>
        <s v="Мария Андреева"/>
        <s v="Сергей Титов"/>
        <s v="Марк Козлов"/>
        <s v="Виктория Исакова"/>
        <s v="Софья Соловьева"/>
        <s v="Екатерина Соколова"/>
        <s v="Дмитрий Петровский"/>
      </sharedItems>
    </cacheField>
    <cacheField name="НАИМЕНОВАНИЕ ИЗДАНИЯ, НА КОТОРОЕ ПОДПИСАЛСЯ КЛИЕНТ" numFmtId="0">
      <sharedItems containsMixedTypes="1" containsNumber="1" containsInteger="1" minValue="1984" maxValue="1984" count="12">
        <s v="Властелин колец"/>
        <s v="Тёмные начала"/>
        <s v="Гордость и предубеждение"/>
        <s v="Автостопом по галактике"/>
        <s v="Гарри Поттер и Кубок огня"/>
        <n v="1984"/>
        <s v="Винни Пух"/>
        <s v="Джейн Эйр"/>
        <s v="Пение птиц"/>
        <s v="Грозовой перевал"/>
        <s v="Маленькие женщины"/>
        <s v="Убить пересмешника"/>
      </sharedItems>
    </cacheField>
    <cacheField name="ИНДЕКС " numFmtId="0">
      <sharedItems containsSemiMixedTypes="0" containsString="0" containsNumber="1" containsInteger="1" minValue="10003" maxValue="10017"/>
    </cacheField>
    <cacheField name="МЕСЯЦ НАЧАЛА ПОДПИСКИ" numFmtId="0">
      <sharedItems count="11">
        <s v="ноябрь"/>
        <s v="декабрь"/>
        <s v="январь"/>
        <s v="май"/>
        <s v="сентябрь"/>
        <s v="апрель"/>
        <s v="июль"/>
        <s v="август"/>
        <s v="февраль"/>
        <s v="март"/>
        <s v="июнь"/>
      </sharedItems>
    </cacheField>
    <cacheField name="МЕСЯЦ ОКОНЧАНИЯ ПОДПИСКИ" numFmtId="0">
      <sharedItems count="9">
        <s v="июнь"/>
        <s v="май"/>
        <s v="июль"/>
        <s v="август"/>
        <s v="сентябрь"/>
        <s v="октябрь"/>
        <s v="февраль"/>
        <s v="март"/>
        <s v="апрель"/>
      </sharedItems>
    </cacheField>
    <cacheField name="ПРОДОЛЖИТЕЛЬНОСТЬ ПОДПИСКИ В МЕСЯЦАХ" numFmtId="0">
      <sharedItems containsSemiMixedTypes="0" containsString="0" containsNumber="1" containsInteger="1" minValue="1" maxValue="12"/>
    </cacheField>
    <cacheField name="СТОИМОСТЬ ПОДПИСКИ НА ДАННОЕ ИЗДАНИЕ С УЧЕТОМ СКИДОК" numFmtId="164">
      <sharedItems containsSemiMixedTypes="0" containsString="0" containsNumber="1" minValue="651" maxValue="87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0003"/>
    <x v="0"/>
    <x v="0"/>
    <n v="8"/>
    <n v="5824"/>
  </r>
  <r>
    <x v="1"/>
    <x v="1"/>
    <n v="10017"/>
    <x v="1"/>
    <x v="1"/>
    <n v="6"/>
    <n v="2483.6999999999998"/>
  </r>
  <r>
    <x v="2"/>
    <x v="1"/>
    <n v="10017"/>
    <x v="2"/>
    <x v="0"/>
    <n v="6"/>
    <n v="2483.6999999999998"/>
  </r>
  <r>
    <x v="3"/>
    <x v="2"/>
    <n v="10004"/>
    <x v="3"/>
    <x v="2"/>
    <n v="3"/>
    <n v="1995"/>
  </r>
  <r>
    <x v="4"/>
    <x v="3"/>
    <n v="10003"/>
    <x v="4"/>
    <x v="3"/>
    <n v="12"/>
    <n v="8736"/>
  </r>
  <r>
    <x v="5"/>
    <x v="4"/>
    <n v="10004"/>
    <x v="5"/>
    <x v="4"/>
    <n v="6"/>
    <n v="3990"/>
  </r>
  <r>
    <x v="6"/>
    <x v="3"/>
    <n v="10003"/>
    <x v="3"/>
    <x v="5"/>
    <n v="6"/>
    <n v="4368"/>
  </r>
  <r>
    <x v="7"/>
    <x v="0"/>
    <n v="10003"/>
    <x v="4"/>
    <x v="2"/>
    <n v="11"/>
    <n v="8008"/>
  </r>
  <r>
    <x v="8"/>
    <x v="5"/>
    <n v="10007"/>
    <x v="6"/>
    <x v="2"/>
    <n v="1"/>
    <n v="651"/>
  </r>
  <r>
    <x v="9"/>
    <x v="6"/>
    <n v="10003"/>
    <x v="7"/>
    <x v="2"/>
    <n v="12"/>
    <n v="8736"/>
  </r>
  <r>
    <x v="10"/>
    <x v="0"/>
    <n v="10003"/>
    <x v="4"/>
    <x v="6"/>
    <n v="6"/>
    <n v="4368"/>
  </r>
  <r>
    <x v="11"/>
    <x v="7"/>
    <n v="10004"/>
    <x v="6"/>
    <x v="7"/>
    <n v="9"/>
    <n v="5985"/>
  </r>
  <r>
    <x v="12"/>
    <x v="0"/>
    <n v="10003"/>
    <x v="0"/>
    <x v="8"/>
    <n v="6"/>
    <n v="4368"/>
  </r>
  <r>
    <x v="13"/>
    <x v="0"/>
    <n v="10003"/>
    <x v="1"/>
    <x v="2"/>
    <n v="8"/>
    <n v="5824"/>
  </r>
  <r>
    <x v="14"/>
    <x v="8"/>
    <n v="10009"/>
    <x v="2"/>
    <x v="2"/>
    <n v="7"/>
    <n v="1547.91"/>
  </r>
  <r>
    <x v="15"/>
    <x v="0"/>
    <n v="10003"/>
    <x v="8"/>
    <x v="2"/>
    <n v="6"/>
    <n v="4368"/>
  </r>
  <r>
    <x v="16"/>
    <x v="7"/>
    <n v="10004"/>
    <x v="9"/>
    <x v="3"/>
    <n v="6"/>
    <n v="3990"/>
  </r>
  <r>
    <x v="17"/>
    <x v="9"/>
    <n v="10004"/>
    <x v="5"/>
    <x v="4"/>
    <n v="6"/>
    <n v="3990"/>
  </r>
  <r>
    <x v="18"/>
    <x v="10"/>
    <n v="10009"/>
    <x v="6"/>
    <x v="5"/>
    <n v="4"/>
    <n v="884.52"/>
  </r>
  <r>
    <x v="19"/>
    <x v="11"/>
    <n v="10017"/>
    <x v="10"/>
    <x v="4"/>
    <n v="4"/>
    <n v="1655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14536C-83C6-4144-909C-DD4C5DC31F24}" name="Сводная таблица1" cacheId="29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rowHeaderCaption="Подписчик и подписное издание">
  <location ref="B2:D43" firstHeaderRow="0" firstDataRow="1" firstDataCol="1"/>
  <pivotFields count="7">
    <pivotField axis="axisRow" showAll="0">
      <items count="21">
        <item x="10"/>
        <item x="0"/>
        <item x="7"/>
        <item x="11"/>
        <item x="4"/>
        <item x="16"/>
        <item x="2"/>
        <item x="6"/>
        <item x="19"/>
        <item x="8"/>
        <item x="18"/>
        <item x="13"/>
        <item x="9"/>
        <item x="15"/>
        <item x="5"/>
        <item x="1"/>
        <item x="12"/>
        <item x="14"/>
        <item x="17"/>
        <item x="3"/>
        <item t="default"/>
      </items>
    </pivotField>
    <pivotField axis="axisRow" showAll="0">
      <items count="13">
        <item x="5"/>
        <item x="3"/>
        <item x="6"/>
        <item x="0"/>
        <item x="4"/>
        <item x="2"/>
        <item x="9"/>
        <item x="7"/>
        <item x="10"/>
        <item x="8"/>
        <item x="1"/>
        <item x="11"/>
        <item t="default"/>
      </items>
    </pivotField>
    <pivotField showAll="0"/>
    <pivotField showAll="0">
      <items count="12">
        <item x="2"/>
        <item x="8"/>
        <item x="9"/>
        <item x="5"/>
        <item x="3"/>
        <item x="10"/>
        <item x="6"/>
        <item x="7"/>
        <item x="4"/>
        <item x="0"/>
        <item x="1"/>
        <item t="default"/>
      </items>
    </pivotField>
    <pivotField showAll="0"/>
    <pivotField dataField="1" showAll="0"/>
    <pivotField dataField="1" numFmtId="164" showAll="0"/>
  </pivotFields>
  <rowFields count="2">
    <field x="0"/>
    <field x="1"/>
  </rowFields>
  <rowItems count="41">
    <i>
      <x/>
    </i>
    <i r="1">
      <x v="3"/>
    </i>
    <i>
      <x v="1"/>
    </i>
    <i r="1">
      <x v="3"/>
    </i>
    <i>
      <x v="2"/>
    </i>
    <i r="1">
      <x v="3"/>
    </i>
    <i>
      <x v="3"/>
    </i>
    <i r="1">
      <x v="7"/>
    </i>
    <i>
      <x v="4"/>
    </i>
    <i r="1">
      <x v="1"/>
    </i>
    <i>
      <x v="5"/>
    </i>
    <i r="1">
      <x v="7"/>
    </i>
    <i>
      <x v="6"/>
    </i>
    <i r="1">
      <x v="10"/>
    </i>
    <i>
      <x v="7"/>
    </i>
    <i r="1">
      <x v="1"/>
    </i>
    <i>
      <x v="8"/>
    </i>
    <i r="1">
      <x v="11"/>
    </i>
    <i>
      <x v="9"/>
    </i>
    <i r="1">
      <x/>
    </i>
    <i>
      <x v="10"/>
    </i>
    <i r="1">
      <x v="8"/>
    </i>
    <i>
      <x v="11"/>
    </i>
    <i r="1">
      <x v="3"/>
    </i>
    <i>
      <x v="12"/>
    </i>
    <i r="1">
      <x v="2"/>
    </i>
    <i>
      <x v="13"/>
    </i>
    <i r="1">
      <x v="3"/>
    </i>
    <i>
      <x v="14"/>
    </i>
    <i r="1">
      <x v="4"/>
    </i>
    <i>
      <x v="15"/>
    </i>
    <i r="1">
      <x v="10"/>
    </i>
    <i>
      <x v="16"/>
    </i>
    <i r="1">
      <x v="3"/>
    </i>
    <i>
      <x v="17"/>
    </i>
    <i r="1">
      <x v="9"/>
    </i>
    <i>
      <x v="18"/>
    </i>
    <i r="1">
      <x v="6"/>
    </i>
    <i>
      <x v="19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Продолжительность подписки " fld="5" baseField="0" baseItem="0"/>
    <dataField name="Стоимость подписки на издание" fld="6" baseField="0" baseItem="0"/>
  </dataFields>
  <formats count="108">
    <format dxfId="1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3">
      <pivotArea field="0" type="button" dataOnly="0" labelOnly="1" outline="0" axis="axisRow" fieldPosition="0"/>
    </format>
    <format dxfId="164">
      <pivotArea type="all" dataOnly="0" outline="0" fieldPosition="0"/>
    </format>
    <format dxfId="165">
      <pivotArea outline="0" collapsedLevelsAreSubtotals="1" fieldPosition="0"/>
    </format>
    <format dxfId="166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8">
      <pivotArea dataOnly="0" labelOnly="1" grandRow="1" outline="0" fieldPosition="0"/>
    </format>
    <format dxfId="169">
      <pivotArea dataOnly="0" labelOnly="1" fieldPosition="0">
        <references count="2">
          <reference field="0" count="1" selected="0">
            <x v="0"/>
          </reference>
          <reference field="1" count="1">
            <x v="3"/>
          </reference>
        </references>
      </pivotArea>
    </format>
    <format dxfId="170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71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172">
      <pivotArea dataOnly="0" labelOnly="1" fieldPosition="0">
        <references count="2">
          <reference field="0" count="1" selected="0">
            <x v="3"/>
          </reference>
          <reference field="1" count="1">
            <x v="7"/>
          </reference>
        </references>
      </pivotArea>
    </format>
    <format dxfId="173">
      <pivotArea dataOnly="0" labelOnly="1" fieldPosition="0">
        <references count="2">
          <reference field="0" count="1" selected="0">
            <x v="4"/>
          </reference>
          <reference field="1" count="1">
            <x v="1"/>
          </reference>
        </references>
      </pivotArea>
    </format>
    <format dxfId="174">
      <pivotArea dataOnly="0" labelOnly="1" fieldPosition="0">
        <references count="2">
          <reference field="0" count="1" selected="0">
            <x v="5"/>
          </reference>
          <reference field="1" count="1">
            <x v="7"/>
          </reference>
        </references>
      </pivotArea>
    </format>
    <format dxfId="175">
      <pivotArea dataOnly="0" labelOnly="1" fieldPosition="0">
        <references count="2">
          <reference field="0" count="1" selected="0">
            <x v="6"/>
          </reference>
          <reference field="1" count="1">
            <x v="10"/>
          </reference>
        </references>
      </pivotArea>
    </format>
    <format dxfId="176">
      <pivotArea dataOnly="0" labelOnly="1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177">
      <pivotArea dataOnly="0" labelOnly="1" fieldPosition="0">
        <references count="2">
          <reference field="0" count="1" selected="0">
            <x v="8"/>
          </reference>
          <reference field="1" count="1">
            <x v="11"/>
          </reference>
        </references>
      </pivotArea>
    </format>
    <format dxfId="178">
      <pivotArea dataOnly="0" labelOnly="1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179">
      <pivotArea dataOnly="0" labelOnly="1" fieldPosition="0">
        <references count="2">
          <reference field="0" count="1" selected="0">
            <x v="10"/>
          </reference>
          <reference field="1" count="1">
            <x v="8"/>
          </reference>
        </references>
      </pivotArea>
    </format>
    <format dxfId="180">
      <pivotArea dataOnly="0" labelOnly="1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181">
      <pivotArea dataOnly="0" labelOnly="1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182">
      <pivotArea dataOnly="0" labelOnly="1" fieldPosition="0">
        <references count="2">
          <reference field="0" count="1" selected="0">
            <x v="13"/>
          </reference>
          <reference field="1" count="1">
            <x v="3"/>
          </reference>
        </references>
      </pivotArea>
    </format>
    <format dxfId="183">
      <pivotArea dataOnly="0" labelOnly="1" fieldPosition="0">
        <references count="2">
          <reference field="0" count="1" selected="0">
            <x v="14"/>
          </reference>
          <reference field="1" count="1">
            <x v="4"/>
          </reference>
        </references>
      </pivotArea>
    </format>
    <format dxfId="184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185">
      <pivotArea dataOnly="0" labelOnly="1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186">
      <pivotArea dataOnly="0" labelOnly="1" fieldPosition="0">
        <references count="2">
          <reference field="0" count="1" selected="0">
            <x v="17"/>
          </reference>
          <reference field="1" count="1">
            <x v="9"/>
          </reference>
        </references>
      </pivotArea>
    </format>
    <format dxfId="187">
      <pivotArea dataOnly="0" labelOnly="1" fieldPosition="0">
        <references count="2">
          <reference field="0" count="1" selected="0">
            <x v="18"/>
          </reference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 selected="0">
            <x v="19"/>
          </reference>
          <reference field="1" count="1">
            <x v="5"/>
          </reference>
        </references>
      </pivotArea>
    </format>
    <format dxfId="1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91">
      <pivotArea outline="0" collapsedLevelsAreSubtotals="1" fieldPosition="0"/>
    </format>
    <format dxfId="192">
      <pivotArea field="0" type="button" dataOnly="0" labelOnly="1" outline="0" axis="axisRow" fieldPosition="0"/>
    </format>
    <format dxfId="193">
      <pivotArea dataOnly="0" labelOnly="1" fieldPosition="0">
        <references count="1">
          <reference field="0" count="0"/>
        </references>
      </pivotArea>
    </format>
    <format dxfId="194">
      <pivotArea dataOnly="0" labelOnly="1" grandRow="1" outline="0" fieldPosition="0"/>
    </format>
    <format dxfId="195">
      <pivotArea dataOnly="0" labelOnly="1" fieldPosition="0">
        <references count="2">
          <reference field="0" count="1" selected="0">
            <x v="0"/>
          </reference>
          <reference field="1" count="1">
            <x v="3"/>
          </reference>
        </references>
      </pivotArea>
    </format>
    <format dxfId="196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97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198">
      <pivotArea dataOnly="0" labelOnly="1" fieldPosition="0">
        <references count="2">
          <reference field="0" count="1" selected="0">
            <x v="3"/>
          </reference>
          <reference field="1" count="1">
            <x v="7"/>
          </reference>
        </references>
      </pivotArea>
    </format>
    <format dxfId="199">
      <pivotArea dataOnly="0" labelOnly="1" fieldPosition="0">
        <references count="2">
          <reference field="0" count="1" selected="0">
            <x v="4"/>
          </reference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 selected="0">
            <x v="5"/>
          </reference>
          <reference field="1" count="1">
            <x v="7"/>
          </reference>
        </references>
      </pivotArea>
    </format>
    <format dxfId="201">
      <pivotArea dataOnly="0" labelOnly="1" fieldPosition="0">
        <references count="2">
          <reference field="0" count="1" selected="0">
            <x v="6"/>
          </reference>
          <reference field="1" count="1">
            <x v="10"/>
          </reference>
        </references>
      </pivotArea>
    </format>
    <format dxfId="202">
      <pivotArea dataOnly="0" labelOnly="1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203">
      <pivotArea dataOnly="0" labelOnly="1" fieldPosition="0">
        <references count="2">
          <reference field="0" count="1" selected="0">
            <x v="8"/>
          </reference>
          <reference field="1" count="1">
            <x v="11"/>
          </reference>
        </references>
      </pivotArea>
    </format>
    <format dxfId="204">
      <pivotArea dataOnly="0" labelOnly="1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205">
      <pivotArea dataOnly="0" labelOnly="1" fieldPosition="0">
        <references count="2">
          <reference field="0" count="1" selected="0">
            <x v="10"/>
          </reference>
          <reference field="1" count="1">
            <x v="8"/>
          </reference>
        </references>
      </pivotArea>
    </format>
    <format dxfId="206">
      <pivotArea dataOnly="0" labelOnly="1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07">
      <pivotArea dataOnly="0" labelOnly="1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08">
      <pivotArea dataOnly="0" labelOnly="1" fieldPosition="0">
        <references count="2">
          <reference field="0" count="1" selected="0">
            <x v="13"/>
          </reference>
          <reference field="1" count="1">
            <x v="3"/>
          </reference>
        </references>
      </pivotArea>
    </format>
    <format dxfId="209">
      <pivotArea dataOnly="0" labelOnly="1" fieldPosition="0">
        <references count="2">
          <reference field="0" count="1" selected="0">
            <x v="14"/>
          </reference>
          <reference field="1" count="1">
            <x v="4"/>
          </reference>
        </references>
      </pivotArea>
    </format>
    <format dxfId="210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211">
      <pivotArea dataOnly="0" labelOnly="1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212">
      <pivotArea dataOnly="0" labelOnly="1" fieldPosition="0">
        <references count="2">
          <reference field="0" count="1" selected="0">
            <x v="17"/>
          </reference>
          <reference field="1" count="1">
            <x v="9"/>
          </reference>
        </references>
      </pivotArea>
    </format>
    <format dxfId="213">
      <pivotArea dataOnly="0" labelOnly="1" fieldPosition="0">
        <references count="2">
          <reference field="0" count="1" selected="0">
            <x v="18"/>
          </reference>
          <reference field="1" count="1">
            <x v="6"/>
          </reference>
        </references>
      </pivotArea>
    </format>
    <format dxfId="214">
      <pivotArea dataOnly="0" labelOnly="1" fieldPosition="0">
        <references count="2">
          <reference field="0" count="1" selected="0">
            <x v="19"/>
          </reference>
          <reference field="1" count="1">
            <x v="5"/>
          </reference>
        </references>
      </pivotArea>
    </format>
    <format dxfId="2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6">
      <pivotArea type="all" dataOnly="0" outline="0" fieldPosition="0"/>
    </format>
    <format dxfId="217">
      <pivotArea outline="0" collapsedLevelsAreSubtotals="1" fieldPosition="0"/>
    </format>
    <format dxfId="218">
      <pivotArea field="0" type="button" dataOnly="0" labelOnly="1" outline="0" axis="axisRow" fieldPosition="0"/>
    </format>
    <format dxfId="219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21">
      <pivotArea dataOnly="0" labelOnly="1" fieldPosition="0">
        <references count="2">
          <reference field="0" count="1" selected="0">
            <x v="0"/>
          </reference>
          <reference field="1" count="1">
            <x v="3"/>
          </reference>
        </references>
      </pivotArea>
    </format>
    <format dxfId="222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23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224">
      <pivotArea dataOnly="0" labelOnly="1" fieldPosition="0">
        <references count="2">
          <reference field="0" count="1" selected="0">
            <x v="3"/>
          </reference>
          <reference field="1" count="1">
            <x v="7"/>
          </reference>
        </references>
      </pivotArea>
    </format>
    <format dxfId="225">
      <pivotArea dataOnly="0" labelOnly="1" fieldPosition="0">
        <references count="2">
          <reference field="0" count="1" selected="0">
            <x v="4"/>
          </reference>
          <reference field="1" count="1">
            <x v="1"/>
          </reference>
        </references>
      </pivotArea>
    </format>
    <format dxfId="226">
      <pivotArea dataOnly="0" labelOnly="1" fieldPosition="0">
        <references count="2">
          <reference field="0" count="1" selected="0">
            <x v="5"/>
          </reference>
          <reference field="1" count="1">
            <x v="7"/>
          </reference>
        </references>
      </pivotArea>
    </format>
    <format dxfId="227">
      <pivotArea dataOnly="0" labelOnly="1" fieldPosition="0">
        <references count="2">
          <reference field="0" count="1" selected="0">
            <x v="6"/>
          </reference>
          <reference field="1" count="1">
            <x v="10"/>
          </reference>
        </references>
      </pivotArea>
    </format>
    <format dxfId="228">
      <pivotArea dataOnly="0" labelOnly="1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229">
      <pivotArea dataOnly="0" labelOnly="1" fieldPosition="0">
        <references count="2">
          <reference field="0" count="1" selected="0">
            <x v="8"/>
          </reference>
          <reference field="1" count="1">
            <x v="11"/>
          </reference>
        </references>
      </pivotArea>
    </format>
    <format dxfId="230">
      <pivotArea dataOnly="0" labelOnly="1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231">
      <pivotArea dataOnly="0" labelOnly="1" fieldPosition="0">
        <references count="2">
          <reference field="0" count="1" selected="0">
            <x v="10"/>
          </reference>
          <reference field="1" count="1">
            <x v="8"/>
          </reference>
        </references>
      </pivotArea>
    </format>
    <format dxfId="232">
      <pivotArea dataOnly="0" labelOnly="1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33">
      <pivotArea dataOnly="0" labelOnly="1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34">
      <pivotArea dataOnly="0" labelOnly="1" fieldPosition="0">
        <references count="2">
          <reference field="0" count="1" selected="0">
            <x v="13"/>
          </reference>
          <reference field="1" count="1">
            <x v="3"/>
          </reference>
        </references>
      </pivotArea>
    </format>
    <format dxfId="235">
      <pivotArea dataOnly="0" labelOnly="1" fieldPosition="0">
        <references count="2">
          <reference field="0" count="1" selected="0">
            <x v="14"/>
          </reference>
          <reference field="1" count="1">
            <x v="4"/>
          </reference>
        </references>
      </pivotArea>
    </format>
    <format dxfId="236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237">
      <pivotArea dataOnly="0" labelOnly="1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238">
      <pivotArea dataOnly="0" labelOnly="1" fieldPosition="0">
        <references count="2">
          <reference field="0" count="1" selected="0">
            <x v="17"/>
          </reference>
          <reference field="1" count="1">
            <x v="9"/>
          </reference>
        </references>
      </pivotArea>
    </format>
    <format dxfId="239">
      <pivotArea dataOnly="0" labelOnly="1" fieldPosition="0">
        <references count="2">
          <reference field="0" count="1" selected="0">
            <x v="18"/>
          </reference>
          <reference field="1" count="1">
            <x v="6"/>
          </reference>
        </references>
      </pivotArea>
    </format>
    <format dxfId="240">
      <pivotArea dataOnly="0" labelOnly="1" fieldPosition="0">
        <references count="2">
          <reference field="0" count="1" selected="0">
            <x v="19"/>
          </reference>
          <reference field="1" count="1">
            <x v="5"/>
          </reference>
        </references>
      </pivotArea>
    </format>
    <format dxfId="2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2">
      <pivotArea field="0" type="button" dataOnly="0" labelOnly="1" outline="0" axis="axisRow" fieldPosition="0"/>
    </format>
    <format dxfId="243">
      <pivotArea field="0" type="button" dataOnly="0" labelOnly="1" outline="0" axis="axisRow" fieldPosition="0"/>
    </format>
    <format dxfId="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9">
      <pivotArea dataOnly="0" labelOnly="1" fieldPosition="0">
        <references count="1">
          <reference field="0" count="0"/>
        </references>
      </pivotArea>
    </format>
    <format dxfId="250">
      <pivotArea dataOnly="0" labelOnly="1" fieldPosition="0">
        <references count="2">
          <reference field="0" count="1" selected="0">
            <x v="0"/>
          </reference>
          <reference field="1" count="1">
            <x v="3"/>
          </reference>
        </references>
      </pivotArea>
    </format>
    <format dxfId="251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52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253">
      <pivotArea dataOnly="0" labelOnly="1" fieldPosition="0">
        <references count="2">
          <reference field="0" count="1" selected="0">
            <x v="3"/>
          </reference>
          <reference field="1" count="1">
            <x v="7"/>
          </reference>
        </references>
      </pivotArea>
    </format>
    <format dxfId="254">
      <pivotArea dataOnly="0" labelOnly="1" fieldPosition="0">
        <references count="2">
          <reference field="0" count="1" selected="0">
            <x v="4"/>
          </reference>
          <reference field="1" count="1">
            <x v="1"/>
          </reference>
        </references>
      </pivotArea>
    </format>
    <format dxfId="255">
      <pivotArea dataOnly="0" labelOnly="1" fieldPosition="0">
        <references count="2">
          <reference field="0" count="1" selected="0">
            <x v="5"/>
          </reference>
          <reference field="1" count="1">
            <x v="7"/>
          </reference>
        </references>
      </pivotArea>
    </format>
    <format dxfId="256">
      <pivotArea dataOnly="0" labelOnly="1" fieldPosition="0">
        <references count="2">
          <reference field="0" count="1" selected="0">
            <x v="6"/>
          </reference>
          <reference field="1" count="1">
            <x v="10"/>
          </reference>
        </references>
      </pivotArea>
    </format>
    <format dxfId="257">
      <pivotArea dataOnly="0" labelOnly="1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258">
      <pivotArea dataOnly="0" labelOnly="1" fieldPosition="0">
        <references count="2">
          <reference field="0" count="1" selected="0">
            <x v="8"/>
          </reference>
          <reference field="1" count="1">
            <x v="11"/>
          </reference>
        </references>
      </pivotArea>
    </format>
    <format dxfId="259">
      <pivotArea dataOnly="0" labelOnly="1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260">
      <pivotArea dataOnly="0" labelOnly="1" fieldPosition="0">
        <references count="2">
          <reference field="0" count="1" selected="0">
            <x v="10"/>
          </reference>
          <reference field="1" count="1">
            <x v="8"/>
          </reference>
        </references>
      </pivotArea>
    </format>
    <format dxfId="261">
      <pivotArea dataOnly="0" labelOnly="1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62">
      <pivotArea dataOnly="0" labelOnly="1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 selected="0">
            <x v="13"/>
          </reference>
          <reference field="1" count="1">
            <x v="3"/>
          </reference>
        </references>
      </pivotArea>
    </format>
    <format dxfId="264">
      <pivotArea dataOnly="0" labelOnly="1" fieldPosition="0">
        <references count="2">
          <reference field="0" count="1" selected="0">
            <x v="14"/>
          </reference>
          <reference field="1" count="1">
            <x v="4"/>
          </reference>
        </references>
      </pivotArea>
    </format>
    <format dxfId="26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266">
      <pivotArea dataOnly="0" labelOnly="1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267">
      <pivotArea dataOnly="0" labelOnly="1" fieldPosition="0">
        <references count="2">
          <reference field="0" count="1" selected="0">
            <x v="17"/>
          </reference>
          <reference field="1" count="1">
            <x v="9"/>
          </reference>
        </references>
      </pivotArea>
    </format>
    <format dxfId="268">
      <pivotArea dataOnly="0" labelOnly="1" fieldPosition="0">
        <references count="2">
          <reference field="0" count="1" selected="0">
            <x v="18"/>
          </reference>
          <reference field="1" count="1">
            <x v="6"/>
          </reference>
        </references>
      </pivotArea>
    </format>
    <format dxfId="269">
      <pivotArea dataOnly="0" labelOnly="1" fieldPosition="0">
        <references count="2">
          <reference field="0" count="1" selected="0">
            <x v="19"/>
          </reference>
          <reference field="1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5B37-F200-4CCA-A40A-183091FB295D}" name="Таблица2" displayName="Таблица2" ref="B2:F20" totalsRowShown="0" headerRowDxfId="296">
  <autoFilter ref="B2:F20" xr:uid="{F3905B37-F200-4CCA-A40A-183091FB295D}"/>
  <tableColumns count="5">
    <tableColumn id="1" xr3:uid="{3E5F1915-1E0C-4AC9-ABBC-6F83C1739E56}" name="Полное наименование издания"/>
    <tableColumn id="2" xr3:uid="{6DBBA04C-5CF0-4E20-962F-CF2E499D2F53}" name="Индекс"/>
    <tableColumn id="3" xr3:uid="{26C57D44-E058-4892-A89E-AB61DCC5268E}" name="Стоимость одного номера журнала"/>
    <tableColumn id="4" xr3:uid="{1510B92E-3A36-4866-A6B1-F9138BF5026B}" name="Предельная продолжительность подписки"/>
    <tableColumn id="5" xr3:uid="{BFDF3023-29D5-453F-8A40-A4EA373BE507}" name="Размер скидки в процентах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C00DE-C964-42E2-B20E-2844436E6B54}">
  <dimension ref="B2:AH50"/>
  <sheetViews>
    <sheetView workbookViewId="0">
      <selection activeCell="B2" sqref="B2"/>
    </sheetView>
  </sheetViews>
  <sheetFormatPr defaultRowHeight="14.4" x14ac:dyDescent="0.3"/>
  <cols>
    <col min="2" max="2" width="33.21875" customWidth="1"/>
    <col min="3" max="3" width="17" customWidth="1"/>
    <col min="4" max="6" width="33.21875" customWidth="1"/>
    <col min="7" max="10" width="11.109375" customWidth="1"/>
    <col min="11" max="13" width="12.109375" customWidth="1"/>
  </cols>
  <sheetData>
    <row r="2" spans="2:13" ht="28.8" x14ac:dyDescent="0.3">
      <c r="B2" s="20" t="s">
        <v>58</v>
      </c>
      <c r="C2" s="20" t="s">
        <v>59</v>
      </c>
      <c r="D2" s="20" t="s">
        <v>60</v>
      </c>
      <c r="E2" s="20" t="s">
        <v>61</v>
      </c>
      <c r="F2" s="20" t="s">
        <v>62</v>
      </c>
      <c r="G2" s="19"/>
      <c r="H2" s="19"/>
      <c r="I2" s="19"/>
      <c r="J2" s="19"/>
      <c r="K2" s="19"/>
      <c r="L2" s="19"/>
      <c r="M2" s="19"/>
    </row>
    <row r="3" spans="2:13" x14ac:dyDescent="0.3">
      <c r="B3" s="22" t="s">
        <v>27</v>
      </c>
      <c r="C3" s="21">
        <v>10000</v>
      </c>
      <c r="D3" s="21">
        <v>700</v>
      </c>
      <c r="E3" s="21">
        <v>5</v>
      </c>
      <c r="F3" s="21">
        <v>15</v>
      </c>
    </row>
    <row r="4" spans="2:13" x14ac:dyDescent="0.3">
      <c r="B4" s="22" t="s">
        <v>28</v>
      </c>
      <c r="C4" s="21">
        <v>10001</v>
      </c>
      <c r="D4" s="21">
        <v>35</v>
      </c>
      <c r="E4" s="21">
        <v>2</v>
      </c>
      <c r="F4" s="21">
        <v>30</v>
      </c>
    </row>
    <row r="5" spans="2:13" x14ac:dyDescent="0.3">
      <c r="B5" s="22" t="s">
        <v>29</v>
      </c>
      <c r="C5" s="21">
        <v>10002</v>
      </c>
      <c r="D5" s="21">
        <v>700</v>
      </c>
      <c r="E5" s="21">
        <v>9</v>
      </c>
      <c r="F5" s="21">
        <v>45</v>
      </c>
    </row>
    <row r="6" spans="2:13" x14ac:dyDescent="0.3">
      <c r="B6" s="22" t="s">
        <v>30</v>
      </c>
      <c r="C6" s="21">
        <v>10003</v>
      </c>
      <c r="D6" s="21">
        <v>800</v>
      </c>
      <c r="E6" s="21">
        <v>9</v>
      </c>
      <c r="F6" s="21">
        <v>60</v>
      </c>
    </row>
    <row r="7" spans="2:13" x14ac:dyDescent="0.3">
      <c r="B7" s="22" t="s">
        <v>31</v>
      </c>
      <c r="C7" s="21">
        <v>10004</v>
      </c>
      <c r="D7" s="21">
        <v>700</v>
      </c>
      <c r="E7" s="21">
        <v>5</v>
      </c>
      <c r="F7" s="21">
        <v>15</v>
      </c>
    </row>
    <row r="8" spans="2:13" x14ac:dyDescent="0.3">
      <c r="B8" s="22" t="s">
        <v>32</v>
      </c>
      <c r="C8" s="21">
        <v>10005</v>
      </c>
      <c r="D8" s="21">
        <v>346</v>
      </c>
      <c r="E8" s="21">
        <v>1</v>
      </c>
      <c r="F8" s="21">
        <v>30</v>
      </c>
    </row>
    <row r="9" spans="2:13" x14ac:dyDescent="0.3">
      <c r="B9" s="22" t="s">
        <v>33</v>
      </c>
      <c r="C9" s="21">
        <v>10006</v>
      </c>
      <c r="D9" s="21">
        <v>50</v>
      </c>
      <c r="E9" s="21">
        <v>6</v>
      </c>
      <c r="F9" s="21">
        <v>75</v>
      </c>
    </row>
    <row r="10" spans="2:13" x14ac:dyDescent="0.3">
      <c r="B10" s="22">
        <v>1984</v>
      </c>
      <c r="C10" s="21">
        <v>10007</v>
      </c>
      <c r="D10" s="21">
        <v>700</v>
      </c>
      <c r="E10" s="21">
        <v>7</v>
      </c>
      <c r="F10" s="21">
        <v>60</v>
      </c>
    </row>
    <row r="11" spans="2:13" x14ac:dyDescent="0.3">
      <c r="B11" s="22" t="s">
        <v>34</v>
      </c>
      <c r="C11" s="21">
        <v>10008</v>
      </c>
      <c r="D11" s="21">
        <v>546</v>
      </c>
      <c r="E11" s="21">
        <v>8</v>
      </c>
      <c r="F11" s="21">
        <v>15</v>
      </c>
    </row>
    <row r="12" spans="2:13" x14ac:dyDescent="0.3">
      <c r="B12" s="22" t="s">
        <v>35</v>
      </c>
      <c r="C12" s="21">
        <v>10009</v>
      </c>
      <c r="D12" s="21">
        <v>243</v>
      </c>
      <c r="E12" s="21">
        <v>9</v>
      </c>
      <c r="F12" s="21">
        <v>30</v>
      </c>
    </row>
    <row r="13" spans="2:13" x14ac:dyDescent="0.3">
      <c r="B13" s="22" t="s">
        <v>36</v>
      </c>
      <c r="C13" s="21">
        <v>10010</v>
      </c>
      <c r="D13" s="21">
        <v>234</v>
      </c>
      <c r="E13" s="21">
        <v>4</v>
      </c>
      <c r="F13" s="21">
        <v>45</v>
      </c>
    </row>
    <row r="14" spans="2:13" x14ac:dyDescent="0.3">
      <c r="B14" s="22" t="s">
        <v>37</v>
      </c>
      <c r="C14" s="21">
        <v>10011</v>
      </c>
      <c r="D14" s="21">
        <v>54</v>
      </c>
      <c r="E14" s="21">
        <v>6</v>
      </c>
      <c r="F14" s="21">
        <v>60</v>
      </c>
    </row>
    <row r="15" spans="2:13" x14ac:dyDescent="0.3">
      <c r="B15" s="22" t="s">
        <v>38</v>
      </c>
      <c r="C15" s="21">
        <v>10012</v>
      </c>
      <c r="D15" s="21">
        <v>476</v>
      </c>
      <c r="E15" s="21">
        <v>7</v>
      </c>
      <c r="F15" s="21">
        <v>5</v>
      </c>
    </row>
    <row r="16" spans="2:13" x14ac:dyDescent="0.3">
      <c r="B16" s="22" t="s">
        <v>39</v>
      </c>
      <c r="C16" s="21">
        <v>10013</v>
      </c>
      <c r="D16" s="21">
        <v>990</v>
      </c>
      <c r="E16" s="21">
        <v>5</v>
      </c>
      <c r="F16" s="21">
        <v>30</v>
      </c>
    </row>
    <row r="17" spans="2:34" x14ac:dyDescent="0.3">
      <c r="B17" s="22" t="s">
        <v>40</v>
      </c>
      <c r="C17" s="21">
        <v>10014</v>
      </c>
      <c r="D17" s="21">
        <v>768</v>
      </c>
      <c r="E17" s="21">
        <v>3</v>
      </c>
      <c r="F17" s="21">
        <v>45</v>
      </c>
    </row>
    <row r="18" spans="2:34" x14ac:dyDescent="0.3">
      <c r="B18" s="22" t="s">
        <v>41</v>
      </c>
      <c r="C18" s="21">
        <v>10015</v>
      </c>
      <c r="D18" s="21">
        <v>685</v>
      </c>
      <c r="E18" s="21">
        <v>1</v>
      </c>
      <c r="F18" s="21">
        <v>60</v>
      </c>
    </row>
    <row r="19" spans="2:34" x14ac:dyDescent="0.3">
      <c r="B19" s="22" t="s">
        <v>42</v>
      </c>
      <c r="C19" s="21">
        <v>10016</v>
      </c>
      <c r="D19" s="21">
        <v>353</v>
      </c>
      <c r="E19" s="21">
        <v>8</v>
      </c>
      <c r="F19" s="21">
        <v>15</v>
      </c>
    </row>
    <row r="20" spans="2:34" x14ac:dyDescent="0.3">
      <c r="B20" s="22" t="s">
        <v>43</v>
      </c>
      <c r="C20" s="21">
        <v>10017</v>
      </c>
      <c r="D20" s="21">
        <v>487</v>
      </c>
      <c r="E20" s="21">
        <v>15</v>
      </c>
      <c r="F20" s="21">
        <v>30</v>
      </c>
    </row>
    <row r="26" spans="2:34" x14ac:dyDescent="0.3">
      <c r="F26" s="2"/>
    </row>
    <row r="27" spans="2:34" x14ac:dyDescent="0.3"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2:34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2:34" x14ac:dyDescent="0.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2:34" x14ac:dyDescent="0.3">
      <c r="B30" s="2"/>
      <c r="C30" s="16"/>
      <c r="D30" s="16"/>
      <c r="E30" s="16"/>
      <c r="F30" s="2"/>
      <c r="G30" s="16"/>
      <c r="H30" s="2"/>
      <c r="I30" s="16"/>
      <c r="J30" s="2"/>
      <c r="K30" s="16"/>
      <c r="L30" s="2"/>
      <c r="M30" s="1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2:34" x14ac:dyDescent="0.3">
      <c r="B31" s="2"/>
      <c r="C31" s="16"/>
      <c r="D31" s="16"/>
      <c r="E31" s="16"/>
      <c r="F31" s="2"/>
      <c r="G31" s="16"/>
      <c r="H31" s="2"/>
      <c r="I31" s="16"/>
      <c r="J31" s="2"/>
      <c r="K31" s="16"/>
      <c r="L31" s="2"/>
      <c r="M31" s="1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2:34" x14ac:dyDescent="0.3">
      <c r="B32" s="2"/>
      <c r="C32" s="16"/>
      <c r="D32" s="16"/>
      <c r="E32" s="16"/>
      <c r="F32" s="2"/>
      <c r="G32" s="16"/>
      <c r="H32" s="2"/>
      <c r="I32" s="16"/>
      <c r="J32" s="2"/>
      <c r="K32" s="16"/>
      <c r="L32" s="2"/>
      <c r="M32" s="1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2:34" x14ac:dyDescent="0.3">
      <c r="B33" s="2"/>
      <c r="C33" s="16"/>
      <c r="D33" s="16"/>
      <c r="E33" s="16"/>
      <c r="F33" s="2"/>
      <c r="G33" s="16"/>
      <c r="H33" s="2"/>
      <c r="I33" s="16"/>
      <c r="J33" s="2"/>
      <c r="K33" s="16"/>
      <c r="L33" s="2"/>
      <c r="M33" s="1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2:34" x14ac:dyDescent="0.3">
      <c r="B34" s="2"/>
      <c r="C34" s="16"/>
      <c r="D34" s="16"/>
      <c r="E34" s="16"/>
      <c r="F34" s="2"/>
      <c r="G34" s="16"/>
      <c r="H34" s="2"/>
      <c r="I34" s="16"/>
      <c r="J34" s="2"/>
      <c r="K34" s="16"/>
      <c r="L34" s="2"/>
      <c r="M34" s="1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2:34" x14ac:dyDescent="0.3">
      <c r="B35" s="2"/>
      <c r="C35" s="16"/>
      <c r="D35" s="16"/>
      <c r="E35" s="16"/>
      <c r="F35" s="2"/>
      <c r="G35" s="16"/>
      <c r="H35" s="2"/>
      <c r="I35" s="16"/>
      <c r="J35" s="2"/>
      <c r="K35" s="16"/>
      <c r="L35" s="2"/>
      <c r="M35" s="1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2:34" x14ac:dyDescent="0.3">
      <c r="B36" s="2"/>
      <c r="C36" s="16"/>
      <c r="D36" s="16"/>
      <c r="E36" s="16"/>
      <c r="F36" s="2"/>
      <c r="G36" s="16"/>
      <c r="H36" s="2"/>
      <c r="I36" s="16"/>
      <c r="J36" s="2"/>
      <c r="K36" s="16"/>
      <c r="L36" s="2"/>
      <c r="M36" s="1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2:34" x14ac:dyDescent="0.3">
      <c r="B37" s="2"/>
      <c r="C37" s="16"/>
      <c r="D37" s="16"/>
      <c r="E37" s="16"/>
      <c r="F37" s="2"/>
      <c r="G37" s="16"/>
      <c r="H37" s="2"/>
      <c r="I37" s="16"/>
      <c r="J37" s="2"/>
      <c r="K37" s="16"/>
      <c r="L37" s="2"/>
      <c r="M37" s="1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2:34" x14ac:dyDescent="0.3">
      <c r="B38" s="2"/>
      <c r="C38" s="16"/>
      <c r="D38" s="16"/>
      <c r="E38" s="16"/>
      <c r="F38" s="2"/>
      <c r="G38" s="16"/>
      <c r="H38" s="2"/>
      <c r="I38" s="16"/>
      <c r="J38" s="2"/>
      <c r="K38" s="16"/>
      <c r="L38" s="2"/>
      <c r="M38" s="1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2:34" x14ac:dyDescent="0.3">
      <c r="B39" s="2"/>
      <c r="C39" s="16"/>
      <c r="D39" s="16"/>
      <c r="E39" s="16"/>
      <c r="F39" s="2"/>
      <c r="G39" s="16"/>
      <c r="H39" s="2"/>
      <c r="I39" s="16"/>
      <c r="J39" s="2"/>
      <c r="K39" s="16"/>
      <c r="L39" s="2"/>
      <c r="M39" s="1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2:34" x14ac:dyDescent="0.3">
      <c r="B40" s="2"/>
      <c r="C40" s="16"/>
      <c r="D40" s="16"/>
      <c r="E40" s="16"/>
      <c r="F40" s="2"/>
      <c r="G40" s="16"/>
      <c r="H40" s="2"/>
      <c r="I40" s="16"/>
      <c r="J40" s="2"/>
      <c r="K40" s="16"/>
      <c r="L40" s="2"/>
      <c r="M40" s="1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2:34" x14ac:dyDescent="0.3">
      <c r="B41" s="2"/>
      <c r="C41" s="16"/>
      <c r="D41" s="16"/>
      <c r="E41" s="16"/>
      <c r="F41" s="2"/>
      <c r="G41" s="16"/>
      <c r="H41" s="2"/>
      <c r="I41" s="16"/>
      <c r="J41" s="2"/>
      <c r="K41" s="16"/>
      <c r="L41" s="2"/>
      <c r="M41" s="1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2:34" x14ac:dyDescent="0.3">
      <c r="B42" s="2"/>
      <c r="C42" s="16"/>
      <c r="D42" s="16"/>
      <c r="E42" s="16"/>
      <c r="F42" s="2"/>
      <c r="G42" s="16"/>
      <c r="H42" s="2"/>
      <c r="I42" s="16"/>
      <c r="J42" s="2"/>
      <c r="K42" s="16"/>
      <c r="L42" s="2"/>
      <c r="M42" s="1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2:34" x14ac:dyDescent="0.3">
      <c r="B43" s="2"/>
      <c r="C43" s="16"/>
      <c r="D43" s="16"/>
      <c r="E43" s="16"/>
      <c r="F43" s="2"/>
      <c r="G43" s="16"/>
      <c r="H43" s="2"/>
      <c r="I43" s="16"/>
      <c r="J43" s="2"/>
      <c r="K43" s="16"/>
      <c r="L43" s="2"/>
      <c r="M43" s="1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2:34" x14ac:dyDescent="0.3">
      <c r="B44" s="2"/>
      <c r="C44" s="16"/>
      <c r="D44" s="16"/>
      <c r="E44" s="16"/>
      <c r="F44" s="2"/>
      <c r="G44" s="16"/>
      <c r="H44" s="2"/>
      <c r="I44" s="16"/>
      <c r="J44" s="2"/>
      <c r="K44" s="16"/>
      <c r="L44" s="2"/>
      <c r="M44" s="1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2:34" x14ac:dyDescent="0.3">
      <c r="B45" s="2"/>
      <c r="C45" s="16"/>
      <c r="D45" s="16"/>
      <c r="E45" s="16"/>
      <c r="F45" s="2"/>
      <c r="G45" s="16"/>
      <c r="H45" s="2"/>
      <c r="I45" s="16"/>
      <c r="J45" s="2"/>
      <c r="K45" s="16"/>
      <c r="L45" s="2"/>
      <c r="M45" s="1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2:34" x14ac:dyDescent="0.3">
      <c r="B46" s="2"/>
      <c r="C46" s="16"/>
      <c r="D46" s="16"/>
      <c r="E46" s="16"/>
      <c r="F46" s="2"/>
      <c r="G46" s="16"/>
      <c r="H46" s="2"/>
      <c r="I46" s="16"/>
      <c r="J46" s="2"/>
      <c r="K46" s="16"/>
      <c r="L46" s="2"/>
      <c r="M46" s="1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2:34" x14ac:dyDescent="0.3">
      <c r="B47" s="2"/>
      <c r="C47" s="16"/>
      <c r="D47" s="16"/>
      <c r="E47" s="16"/>
      <c r="F47" s="2"/>
      <c r="G47" s="16"/>
      <c r="H47" s="2"/>
      <c r="I47" s="16"/>
      <c r="J47" s="2"/>
      <c r="K47" s="16"/>
      <c r="L47" s="2"/>
      <c r="M47" s="1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2:34" x14ac:dyDescent="0.3"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0:34" x14ac:dyDescent="0.3"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0:34" x14ac:dyDescent="0.3"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AL60"/>
  <sheetViews>
    <sheetView zoomScale="80" zoomScaleNormal="80" workbookViewId="0">
      <selection activeCell="E27" sqref="E27"/>
    </sheetView>
  </sheetViews>
  <sheetFormatPr defaultRowHeight="14.4" x14ac:dyDescent="0.3"/>
  <cols>
    <col min="2" max="2" width="33.21875" customWidth="1"/>
    <col min="3" max="3" width="33.21875" style="24" customWidth="1"/>
    <col min="4" max="8" width="17" customWidth="1"/>
  </cols>
  <sheetData>
    <row r="2" spans="2:38" x14ac:dyDescent="0.3">
      <c r="B2" s="46" t="s">
        <v>44</v>
      </c>
      <c r="C2" s="47"/>
      <c r="D2" s="47"/>
      <c r="E2" s="47"/>
      <c r="F2" s="47"/>
      <c r="G2" s="47"/>
      <c r="H2" s="47"/>
      <c r="I2" s="30"/>
      <c r="J2" s="30"/>
      <c r="K2" s="30"/>
      <c r="L2" s="30"/>
    </row>
    <row r="3" spans="2:38" x14ac:dyDescent="0.3">
      <c r="B3" s="48"/>
      <c r="C3" s="49"/>
      <c r="D3" s="49"/>
      <c r="E3" s="49"/>
      <c r="F3" s="49"/>
      <c r="G3" s="49"/>
      <c r="H3" s="49"/>
      <c r="I3" s="30"/>
      <c r="J3" s="30"/>
      <c r="K3" s="30"/>
      <c r="L3" s="30"/>
      <c r="N3" s="1"/>
    </row>
    <row r="4" spans="2:38" x14ac:dyDescent="0.3">
      <c r="C4" s="12"/>
      <c r="D4" s="5"/>
      <c r="F4" s="25"/>
      <c r="G4" s="25"/>
      <c r="H4" s="23"/>
      <c r="I4" s="30"/>
      <c r="J4" s="30"/>
      <c r="K4" s="30"/>
      <c r="L4" s="30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2:38" ht="43.2" x14ac:dyDescent="0.3">
      <c r="B5" s="37" t="s">
        <v>20</v>
      </c>
      <c r="C5" s="37" t="s">
        <v>21</v>
      </c>
      <c r="D5" s="38" t="s">
        <v>22</v>
      </c>
      <c r="E5" s="37" t="s">
        <v>23</v>
      </c>
      <c r="F5" s="37" t="s">
        <v>24</v>
      </c>
      <c r="G5" s="39" t="s">
        <v>25</v>
      </c>
      <c r="H5" s="40" t="s">
        <v>26</v>
      </c>
      <c r="I5" s="30"/>
      <c r="J5" s="30"/>
      <c r="K5" s="30"/>
      <c r="L5" s="30"/>
      <c r="M5" s="27"/>
      <c r="N5" s="27"/>
      <c r="O5" s="27"/>
      <c r="P5" s="27"/>
      <c r="Q5" s="27"/>
      <c r="R5" s="27"/>
      <c r="S5" s="4"/>
      <c r="X5" s="4"/>
      <c r="Y5" s="4"/>
      <c r="Z5" s="4"/>
      <c r="AA5" s="4"/>
      <c r="AB5" s="4"/>
      <c r="AC5" s="4"/>
      <c r="AD5" s="4"/>
      <c r="AE5" s="4"/>
      <c r="AF5" s="4"/>
      <c r="AG5" s="4"/>
      <c r="AH5" s="2"/>
      <c r="AI5" s="2"/>
      <c r="AJ5" s="2"/>
      <c r="AK5" s="2"/>
      <c r="AL5" s="2"/>
    </row>
    <row r="6" spans="2:38" ht="15" customHeight="1" x14ac:dyDescent="0.3">
      <c r="B6" s="32" t="s">
        <v>0</v>
      </c>
      <c r="C6" s="10" t="s">
        <v>27</v>
      </c>
      <c r="D6" s="10">
        <f>VLOOKUP(C6,Таблица2[#All],2)</f>
        <v>10003</v>
      </c>
      <c r="E6" s="10" t="s">
        <v>48</v>
      </c>
      <c r="F6" s="10" t="s">
        <v>52</v>
      </c>
      <c r="G6" s="10">
        <f>IF((MONTH(F6&amp;0)-MONTH(E6&amp;0)+1) &gt;0,(MONTH(F6&amp;0)-MONTH(E6&amp;0)+1),(MONTH(F6&amp;0)-MONTH(E6&amp;0)+13))</f>
        <v>8</v>
      </c>
      <c r="H6" s="11">
        <f>(VLOOKUP(C6,Таблица2[#All],3)*G6)*((100-VLOOKUP(C6,Таблица2[#All],4))/100)</f>
        <v>5824</v>
      </c>
      <c r="I6" s="30"/>
      <c r="J6" s="30"/>
      <c r="K6" s="30"/>
      <c r="L6" s="30"/>
      <c r="M6" s="27"/>
      <c r="N6" s="27"/>
      <c r="O6" s="27"/>
      <c r="P6" s="27"/>
      <c r="Q6" s="27"/>
      <c r="R6" s="27"/>
      <c r="S6" s="4"/>
      <c r="X6" s="4"/>
      <c r="Y6" s="4"/>
      <c r="Z6" s="4"/>
      <c r="AA6" s="4"/>
      <c r="AB6" s="4"/>
      <c r="AC6" s="4"/>
      <c r="AD6" s="4"/>
      <c r="AE6" s="4"/>
      <c r="AF6" s="4"/>
      <c r="AG6" s="4"/>
      <c r="AH6" s="2"/>
      <c r="AI6" s="2"/>
      <c r="AJ6" s="2"/>
      <c r="AK6" s="2"/>
      <c r="AL6" s="2"/>
    </row>
    <row r="7" spans="2:38" ht="14.4" customHeight="1" x14ac:dyDescent="0.3">
      <c r="B7" s="32" t="s">
        <v>1</v>
      </c>
      <c r="C7" s="10" t="s">
        <v>29</v>
      </c>
      <c r="D7" s="10">
        <f>VLOOKUP(C7,Таблица2[#All],2)</f>
        <v>10017</v>
      </c>
      <c r="E7" s="10" t="s">
        <v>55</v>
      </c>
      <c r="F7" s="10" t="s">
        <v>46</v>
      </c>
      <c r="G7" s="10">
        <f t="shared" ref="G7:G25" si="0">IF((MONTH(F7&amp;0)-MONTH(E7&amp;0)+1) &gt;0,(MONTH(F7&amp;0)-MONTH(E7&amp;0)+1),(MONTH(F7&amp;0)-MONTH(E7&amp;0)+13))</f>
        <v>6</v>
      </c>
      <c r="H7" s="11">
        <f>(VLOOKUP(C7,Таблица2[#All],3)*G7)*((100-VLOOKUP(C7,Таблица2[#All],4))/100)</f>
        <v>2483.6999999999998</v>
      </c>
      <c r="I7" s="30"/>
      <c r="J7" s="30"/>
      <c r="K7" s="30"/>
      <c r="L7" s="30"/>
      <c r="M7" s="6"/>
      <c r="N7" s="28"/>
      <c r="O7" s="6"/>
      <c r="P7" s="29"/>
      <c r="Q7" s="6"/>
      <c r="R7" s="30"/>
      <c r="X7" s="5"/>
      <c r="Y7" s="5"/>
      <c r="Z7" s="5"/>
      <c r="AA7" s="5"/>
      <c r="AB7" s="5"/>
      <c r="AC7" s="5"/>
      <c r="AD7" s="5"/>
      <c r="AE7" s="5"/>
      <c r="AF7" s="5"/>
      <c r="AG7" s="5"/>
      <c r="AH7" s="2"/>
      <c r="AI7" s="7"/>
      <c r="AJ7" s="7"/>
      <c r="AK7" s="7"/>
      <c r="AL7" s="7"/>
    </row>
    <row r="8" spans="2:38" x14ac:dyDescent="0.3">
      <c r="B8" s="32" t="s">
        <v>2</v>
      </c>
      <c r="C8" s="10" t="s">
        <v>29</v>
      </c>
      <c r="D8" s="10">
        <f>VLOOKUP(C8,Таблица2[#All],2)</f>
        <v>10017</v>
      </c>
      <c r="E8" s="10" t="s">
        <v>50</v>
      </c>
      <c r="F8" s="10" t="s">
        <v>52</v>
      </c>
      <c r="G8" s="10">
        <f t="shared" si="0"/>
        <v>6</v>
      </c>
      <c r="H8" s="11">
        <f>(VLOOKUP(C8,Таблица2[#All],3)*G8)*((100-VLOOKUP(C8,Таблица2[#All],4))/100)</f>
        <v>2483.6999999999998</v>
      </c>
      <c r="I8" s="30"/>
      <c r="J8" s="30"/>
      <c r="K8" s="30"/>
      <c r="L8" s="30"/>
      <c r="M8" s="28"/>
      <c r="N8" s="28"/>
      <c r="O8" s="29"/>
      <c r="P8" s="29"/>
      <c r="Q8" s="30"/>
      <c r="R8" s="30"/>
      <c r="X8" s="5"/>
      <c r="Y8" s="5"/>
      <c r="Z8" s="5"/>
      <c r="AA8" s="5"/>
      <c r="AB8" s="5"/>
      <c r="AC8" s="5"/>
      <c r="AD8" s="5"/>
      <c r="AE8" s="5"/>
      <c r="AF8" s="5"/>
      <c r="AG8" s="5"/>
      <c r="AH8" s="2"/>
      <c r="AI8" s="7"/>
      <c r="AJ8" s="7"/>
      <c r="AK8" s="7"/>
      <c r="AL8" s="7"/>
    </row>
    <row r="9" spans="2:38" x14ac:dyDescent="0.3">
      <c r="B9" s="32" t="s">
        <v>3</v>
      </c>
      <c r="C9" s="10" t="s">
        <v>28</v>
      </c>
      <c r="D9" s="10">
        <f>VLOOKUP(C9,Таблица2[#All],2)</f>
        <v>10004</v>
      </c>
      <c r="E9" s="10" t="s">
        <v>46</v>
      </c>
      <c r="F9" s="10" t="s">
        <v>53</v>
      </c>
      <c r="G9" s="10">
        <f t="shared" si="0"/>
        <v>3</v>
      </c>
      <c r="H9" s="11">
        <f>(VLOOKUP(C9,Таблица2[#All],3)*G9)*((100-VLOOKUP(C9,Таблица2[#All],4))/100)</f>
        <v>1995</v>
      </c>
      <c r="I9" s="30"/>
      <c r="J9" s="30"/>
      <c r="K9" s="30"/>
      <c r="L9" s="30"/>
      <c r="M9" s="6"/>
      <c r="N9" s="16"/>
      <c r="O9" s="6"/>
      <c r="P9" s="16"/>
      <c r="Q9" s="6"/>
      <c r="R9" s="31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2:38" x14ac:dyDescent="0.3">
      <c r="B10" s="32" t="s">
        <v>4</v>
      </c>
      <c r="C10" s="10" t="s">
        <v>30</v>
      </c>
      <c r="D10" s="10">
        <f>VLOOKUP(C10,Таблица2[#All],2)</f>
        <v>10003</v>
      </c>
      <c r="E10" s="10" t="s">
        <v>49</v>
      </c>
      <c r="F10" s="10" t="s">
        <v>64</v>
      </c>
      <c r="G10" s="10">
        <f t="shared" si="0"/>
        <v>12</v>
      </c>
      <c r="H10" s="11">
        <f>(VLOOKUP(C10,Таблица2[#All],3)*G10)*((100-VLOOKUP(C10,Таблица2[#All],4))/100)</f>
        <v>8736</v>
      </c>
      <c r="I10" s="30"/>
      <c r="J10" s="30"/>
      <c r="K10" s="30"/>
      <c r="L10" s="30"/>
      <c r="M10" s="6"/>
      <c r="N10" s="16"/>
      <c r="O10" s="6"/>
      <c r="P10" s="16"/>
      <c r="Q10" s="6"/>
      <c r="R10" s="31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2:38" x14ac:dyDescent="0.3">
      <c r="B11" s="32" t="s">
        <v>5</v>
      </c>
      <c r="C11" s="10" t="s">
        <v>31</v>
      </c>
      <c r="D11" s="10">
        <f>VLOOKUP(C11,Таблица2[#All],2)</f>
        <v>10004</v>
      </c>
      <c r="E11" s="10" t="s">
        <v>47</v>
      </c>
      <c r="F11" s="10" t="s">
        <v>49</v>
      </c>
      <c r="G11" s="10">
        <f t="shared" si="0"/>
        <v>6</v>
      </c>
      <c r="H11" s="11">
        <f>(VLOOKUP(C11,Таблица2[#All],3)*G11)*((100-VLOOKUP(C11,Таблица2[#All],4))/100)</f>
        <v>3990</v>
      </c>
      <c r="I11" s="30"/>
      <c r="J11" s="30"/>
      <c r="K11" s="30"/>
      <c r="L11" s="30"/>
      <c r="M11" s="2"/>
      <c r="N11" s="3"/>
      <c r="O11" s="2"/>
      <c r="P11" s="3"/>
      <c r="Q11" s="2"/>
      <c r="R11" s="26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2:38" x14ac:dyDescent="0.3">
      <c r="B12" s="32" t="s">
        <v>6</v>
      </c>
      <c r="C12" s="10" t="s">
        <v>30</v>
      </c>
      <c r="D12" s="10">
        <f>VLOOKUP(C12,Таблица2[#All],2)</f>
        <v>10003</v>
      </c>
      <c r="E12" s="10" t="s">
        <v>46</v>
      </c>
      <c r="F12" s="10" t="s">
        <v>51</v>
      </c>
      <c r="G12" s="10">
        <f t="shared" si="0"/>
        <v>6</v>
      </c>
      <c r="H12" s="11">
        <f>(VLOOKUP(C12,Таблица2[#All],3)*G12)*((100-VLOOKUP(C12,Таблица2[#All],4))/100)</f>
        <v>4368</v>
      </c>
      <c r="I12" s="30"/>
      <c r="J12" s="30"/>
      <c r="K12" s="30"/>
      <c r="L12" s="30"/>
      <c r="M12" s="2"/>
      <c r="N12" s="3"/>
      <c r="O12" s="2"/>
      <c r="P12" s="3"/>
      <c r="Q12" s="2"/>
      <c r="R12" s="26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2:38" x14ac:dyDescent="0.3">
      <c r="B13" s="32" t="s">
        <v>7</v>
      </c>
      <c r="C13" s="10" t="s">
        <v>27</v>
      </c>
      <c r="D13" s="10">
        <f>VLOOKUP(C13,Таблица2[#All],2)</f>
        <v>10003</v>
      </c>
      <c r="E13" s="10" t="s">
        <v>49</v>
      </c>
      <c r="F13" s="10" t="s">
        <v>53</v>
      </c>
      <c r="G13" s="10">
        <f t="shared" si="0"/>
        <v>11</v>
      </c>
      <c r="H13" s="11">
        <f>(VLOOKUP(C13,Таблица2[#All],3)*G13)*((100-VLOOKUP(C13,Таблица2[#All],4))/100)</f>
        <v>8008</v>
      </c>
      <c r="I13" s="30"/>
      <c r="J13" s="30"/>
      <c r="K13" s="30"/>
      <c r="L13" s="30"/>
      <c r="M13" s="2"/>
      <c r="N13" s="3"/>
      <c r="O13" s="2"/>
      <c r="P13" s="3"/>
      <c r="Q13" s="2"/>
      <c r="R13" s="26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2:38" x14ac:dyDescent="0.3">
      <c r="B14" s="32" t="s">
        <v>8</v>
      </c>
      <c r="C14" s="10">
        <v>1984</v>
      </c>
      <c r="D14" s="10">
        <f>VLOOKUP(C14,Таблица2[#All],2)</f>
        <v>10007</v>
      </c>
      <c r="E14" s="10" t="s">
        <v>53</v>
      </c>
      <c r="F14" s="10" t="s">
        <v>53</v>
      </c>
      <c r="G14" s="10">
        <f t="shared" si="0"/>
        <v>1</v>
      </c>
      <c r="H14" s="11">
        <f>(VLOOKUP(C14,Таблица2[#All],3)*G14)*((100-VLOOKUP(C14,Таблица2[#All],4))/100)</f>
        <v>651</v>
      </c>
      <c r="I14" s="30"/>
      <c r="J14" s="30"/>
      <c r="K14" s="30"/>
      <c r="L14" s="30"/>
      <c r="M14" s="2"/>
      <c r="N14" s="3"/>
      <c r="O14" s="2"/>
      <c r="P14" s="3"/>
      <c r="Q14" s="2"/>
      <c r="R14" s="26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2:38" x14ac:dyDescent="0.3">
      <c r="B15" s="32" t="s">
        <v>9</v>
      </c>
      <c r="C15" s="10" t="s">
        <v>33</v>
      </c>
      <c r="D15" s="10">
        <f>VLOOKUP(C15,Таблица2[#All],2)</f>
        <v>10003</v>
      </c>
      <c r="E15" s="10" t="s">
        <v>64</v>
      </c>
      <c r="F15" s="10" t="s">
        <v>53</v>
      </c>
      <c r="G15" s="10">
        <f t="shared" si="0"/>
        <v>12</v>
      </c>
      <c r="H15" s="11">
        <f>(VLOOKUP(C15,Таблица2[#All],3)*G15)*((100-VLOOKUP(C15,Таблица2[#All],4))/100)</f>
        <v>8736</v>
      </c>
      <c r="I15" s="30"/>
      <c r="J15" s="30"/>
      <c r="K15" s="30"/>
      <c r="L15" s="30"/>
      <c r="M15" s="2"/>
      <c r="N15" s="3"/>
      <c r="O15" s="2"/>
      <c r="P15" s="3"/>
      <c r="Q15" s="2"/>
      <c r="R15" s="26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2:38" x14ac:dyDescent="0.3">
      <c r="B16" s="32" t="s">
        <v>10</v>
      </c>
      <c r="C16" s="10" t="s">
        <v>27</v>
      </c>
      <c r="D16" s="10">
        <f>VLOOKUP(C16,Таблица2[#All],2)</f>
        <v>10003</v>
      </c>
      <c r="E16" s="10" t="s">
        <v>49</v>
      </c>
      <c r="F16" s="10" t="s">
        <v>54</v>
      </c>
      <c r="G16" s="10">
        <f t="shared" si="0"/>
        <v>6</v>
      </c>
      <c r="H16" s="11">
        <f>(VLOOKUP(C16,Таблица2[#All],3)*G16)*((100-VLOOKUP(C16,Таблица2[#All],4))/100)</f>
        <v>4368</v>
      </c>
      <c r="I16" s="30"/>
      <c r="J16" s="30"/>
      <c r="K16" s="30"/>
      <c r="L16" s="30"/>
      <c r="M16" s="2"/>
      <c r="N16" s="3"/>
      <c r="O16" s="2"/>
      <c r="P16" s="3"/>
      <c r="Q16" s="2"/>
      <c r="R16" s="26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2:38" x14ac:dyDescent="0.3">
      <c r="B17" s="32" t="s">
        <v>11</v>
      </c>
      <c r="C17" s="10" t="s">
        <v>35</v>
      </c>
      <c r="D17" s="10">
        <f>VLOOKUP(C17,Таблица2[#All],2)</f>
        <v>10004</v>
      </c>
      <c r="E17" s="10" t="s">
        <v>53</v>
      </c>
      <c r="F17" s="10" t="s">
        <v>45</v>
      </c>
      <c r="G17" s="10">
        <f t="shared" si="0"/>
        <v>9</v>
      </c>
      <c r="H17" s="11">
        <f>(VLOOKUP(C17,Таблица2[#All],3)*G17)*((100-VLOOKUP(C17,Таблица2[#All],4))/100)</f>
        <v>5985</v>
      </c>
      <c r="I17" s="30"/>
      <c r="J17" s="30"/>
      <c r="K17" s="30"/>
      <c r="L17" s="30"/>
      <c r="M17" s="2"/>
      <c r="N17" s="3"/>
      <c r="O17" s="2"/>
      <c r="P17" s="3"/>
      <c r="Q17" s="2"/>
      <c r="R17" s="26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2:38" x14ac:dyDescent="0.3">
      <c r="B18" s="32" t="s">
        <v>12</v>
      </c>
      <c r="C18" s="10" t="s">
        <v>27</v>
      </c>
      <c r="D18" s="10">
        <f>VLOOKUP(C18,Таблица2[#All],2)</f>
        <v>10003</v>
      </c>
      <c r="E18" s="10" t="s">
        <v>48</v>
      </c>
      <c r="F18" s="10" t="s">
        <v>47</v>
      </c>
      <c r="G18" s="10">
        <f t="shared" si="0"/>
        <v>6</v>
      </c>
      <c r="H18" s="11">
        <f>(VLOOKUP(C18,Таблица2[#All],3)*G18)*((100-VLOOKUP(C18,Таблица2[#All],4))/100)</f>
        <v>4368</v>
      </c>
      <c r="I18" s="30"/>
      <c r="J18" s="30"/>
      <c r="K18" s="30"/>
      <c r="L18" s="30"/>
      <c r="M18" s="2"/>
      <c r="N18" s="3"/>
      <c r="O18" s="2"/>
      <c r="P18" s="3"/>
      <c r="Q18" s="2"/>
      <c r="R18" s="26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2:38" x14ac:dyDescent="0.3">
      <c r="B19" s="32" t="s">
        <v>13</v>
      </c>
      <c r="C19" s="10" t="s">
        <v>27</v>
      </c>
      <c r="D19" s="10">
        <f>VLOOKUP(C19,Таблица2[#All],2)</f>
        <v>10003</v>
      </c>
      <c r="E19" s="10" t="s">
        <v>55</v>
      </c>
      <c r="F19" s="10" t="s">
        <v>53</v>
      </c>
      <c r="G19" s="10">
        <f t="shared" si="0"/>
        <v>8</v>
      </c>
      <c r="H19" s="11">
        <f>(VLOOKUP(C19,Таблица2[#All],3)*G19)*((100-VLOOKUP(C19,Таблица2[#All],4))/100)</f>
        <v>5824</v>
      </c>
      <c r="I19" s="30"/>
      <c r="J19" s="30"/>
      <c r="K19" s="30"/>
      <c r="L19" s="30"/>
      <c r="M19" s="2"/>
      <c r="N19" s="3"/>
      <c r="O19" s="2"/>
      <c r="P19" s="3"/>
      <c r="Q19" s="2"/>
      <c r="R19" s="26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2:38" x14ac:dyDescent="0.3">
      <c r="B20" s="32" t="s">
        <v>14</v>
      </c>
      <c r="C20" s="10" t="s">
        <v>38</v>
      </c>
      <c r="D20" s="10">
        <f>VLOOKUP(C20,Таблица2[#All],2)</f>
        <v>10009</v>
      </c>
      <c r="E20" s="10" t="s">
        <v>50</v>
      </c>
      <c r="F20" s="10" t="s">
        <v>53</v>
      </c>
      <c r="G20" s="10">
        <f t="shared" si="0"/>
        <v>7</v>
      </c>
      <c r="H20" s="11">
        <f>(VLOOKUP(C20,Таблица2[#All],3)*G20)*((100-VLOOKUP(C20,Таблица2[#All],4))/100)</f>
        <v>1547.91</v>
      </c>
      <c r="I20" s="30"/>
      <c r="J20" s="30"/>
      <c r="K20" s="30"/>
      <c r="L20" s="30"/>
      <c r="M20" s="2"/>
      <c r="N20" s="3"/>
      <c r="O20" s="2"/>
      <c r="P20" s="3"/>
      <c r="Q20" s="2"/>
      <c r="R20" s="26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2:38" x14ac:dyDescent="0.3">
      <c r="B21" s="32" t="s">
        <v>15</v>
      </c>
      <c r="C21" s="10" t="s">
        <v>27</v>
      </c>
      <c r="D21" s="10">
        <f>VLOOKUP(C21,Таблица2[#All],2)</f>
        <v>10003</v>
      </c>
      <c r="E21" s="10" t="s">
        <v>54</v>
      </c>
      <c r="F21" s="10" t="s">
        <v>53</v>
      </c>
      <c r="G21" s="10">
        <f t="shared" si="0"/>
        <v>6</v>
      </c>
      <c r="H21" s="11">
        <f>(VLOOKUP(C21,Таблица2[#All],3)*G21)*((100-VLOOKUP(C21,Таблица2[#All],4))/100)</f>
        <v>4368</v>
      </c>
      <c r="I21" s="30"/>
      <c r="J21" s="30"/>
      <c r="K21" s="30"/>
      <c r="L21" s="30"/>
      <c r="M21" s="2"/>
      <c r="N21" s="3"/>
      <c r="O21" s="2"/>
      <c r="P21" s="3"/>
      <c r="Q21" s="2"/>
      <c r="R21" s="26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2:38" x14ac:dyDescent="0.3">
      <c r="B22" s="32" t="s">
        <v>16</v>
      </c>
      <c r="C22" s="10" t="s">
        <v>35</v>
      </c>
      <c r="D22" s="10">
        <f>VLOOKUP(C22,Таблица2[#All],2)</f>
        <v>10004</v>
      </c>
      <c r="E22" s="10" t="s">
        <v>45</v>
      </c>
      <c r="F22" s="10" t="s">
        <v>64</v>
      </c>
      <c r="G22" s="10">
        <f t="shared" si="0"/>
        <v>6</v>
      </c>
      <c r="H22" s="11">
        <f>(VLOOKUP(C22,Таблица2[#All],3)*G22)*((100-VLOOKUP(C22,Таблица2[#All],4))/100)</f>
        <v>3990</v>
      </c>
      <c r="I22" s="30"/>
      <c r="J22" s="30"/>
      <c r="K22" s="30"/>
      <c r="L22" s="30"/>
      <c r="M22" s="2"/>
      <c r="N22" s="3"/>
      <c r="O22" s="2"/>
      <c r="P22" s="3"/>
      <c r="Q22" s="2"/>
      <c r="R22" s="26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2:38" x14ac:dyDescent="0.3">
      <c r="B23" s="32" t="s">
        <v>17</v>
      </c>
      <c r="C23" s="10" t="s">
        <v>37</v>
      </c>
      <c r="D23" s="10">
        <f>VLOOKUP(C23,Таблица2[#All],2)</f>
        <v>10004</v>
      </c>
      <c r="E23" s="10" t="s">
        <v>47</v>
      </c>
      <c r="F23" s="10" t="s">
        <v>49</v>
      </c>
      <c r="G23" s="10">
        <f t="shared" si="0"/>
        <v>6</v>
      </c>
      <c r="H23" s="11">
        <f>(VLOOKUP(C23,Таблица2[#All],3)*G23)*((100-VLOOKUP(C23,Таблица2[#All],4))/100)</f>
        <v>3990</v>
      </c>
      <c r="I23" s="30"/>
      <c r="J23" s="30"/>
      <c r="K23" s="30"/>
      <c r="L23" s="30"/>
      <c r="M23" s="2"/>
      <c r="N23" s="3"/>
      <c r="O23" s="2"/>
      <c r="P23" s="3"/>
      <c r="Q23" s="2"/>
      <c r="R23" s="26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2:38" x14ac:dyDescent="0.3">
      <c r="B24" s="32" t="s">
        <v>18</v>
      </c>
      <c r="C24" s="10" t="s">
        <v>43</v>
      </c>
      <c r="D24" s="10">
        <f>VLOOKUP(C24,Таблица2[#All],2)</f>
        <v>10009</v>
      </c>
      <c r="E24" s="10" t="s">
        <v>53</v>
      </c>
      <c r="F24" s="10" t="s">
        <v>51</v>
      </c>
      <c r="G24" s="10">
        <f t="shared" si="0"/>
        <v>4</v>
      </c>
      <c r="H24" s="11">
        <f>(VLOOKUP(C24,Таблица2[#All],3)*G24)*((100-VLOOKUP(C24,Таблица2[#All],4))/100)</f>
        <v>884.52</v>
      </c>
      <c r="I24" s="30"/>
      <c r="J24" s="30"/>
      <c r="K24" s="30"/>
      <c r="L24" s="30"/>
      <c r="M24" s="2"/>
      <c r="N24" s="3"/>
      <c r="O24" s="2"/>
      <c r="P24" s="3"/>
      <c r="Q24" s="2"/>
      <c r="R24" s="26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2:38" x14ac:dyDescent="0.3">
      <c r="B25" s="32" t="s">
        <v>19</v>
      </c>
      <c r="C25" s="10" t="s">
        <v>32</v>
      </c>
      <c r="D25" s="10">
        <f>VLOOKUP(C25,Таблица2[#All],2)</f>
        <v>10017</v>
      </c>
      <c r="E25" s="10" t="s">
        <v>52</v>
      </c>
      <c r="F25" s="10" t="s">
        <v>49</v>
      </c>
      <c r="G25" s="10">
        <f t="shared" si="0"/>
        <v>4</v>
      </c>
      <c r="H25" s="11">
        <f>(VLOOKUP(C25,Таблица2[#All],3)*G25)*((100-VLOOKUP(C25,Таблица2[#All],4))/100)</f>
        <v>1655.8</v>
      </c>
      <c r="I25" s="30"/>
      <c r="J25" s="30"/>
      <c r="K25" s="30"/>
      <c r="L25" s="30"/>
      <c r="M25" s="2"/>
      <c r="N25" s="3"/>
      <c r="O25" s="2"/>
      <c r="P25" s="3"/>
      <c r="Q25" s="2"/>
      <c r="R25" s="26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2:38" x14ac:dyDescent="0.3">
      <c r="I26" s="2"/>
      <c r="J26" s="3"/>
      <c r="K26" s="2"/>
      <c r="L26" s="3"/>
      <c r="M26" s="2"/>
      <c r="N26" s="3"/>
      <c r="O26" s="2"/>
      <c r="P26" s="3"/>
      <c r="Q26" s="2"/>
      <c r="R26" s="26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2:38" ht="14.4" customHeight="1" x14ac:dyDescent="0.3">
      <c r="B27" s="51" t="s">
        <v>56</v>
      </c>
      <c r="C27" s="51"/>
      <c r="D27" s="51"/>
      <c r="E27" s="13">
        <f>SUMIF(H6:H25,"&gt;0",H6:H25)</f>
        <v>84256.63</v>
      </c>
      <c r="F27" s="33"/>
      <c r="G27" s="2"/>
      <c r="H27" s="34"/>
      <c r="I27" s="34"/>
      <c r="J27" s="3"/>
      <c r="K27" s="2"/>
      <c r="L27" s="3"/>
      <c r="M27" s="2"/>
      <c r="N27" s="3"/>
      <c r="O27" s="2"/>
      <c r="P27" s="3"/>
      <c r="Q27" s="2"/>
      <c r="R27" s="26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2:38" ht="15" customHeight="1" x14ac:dyDescent="0.3">
      <c r="B28" s="33"/>
      <c r="C28" s="33"/>
      <c r="D28" s="33"/>
      <c r="E28" s="36"/>
      <c r="F28" s="33"/>
      <c r="G28" s="34"/>
      <c r="H28" s="34"/>
      <c r="I28" s="34"/>
      <c r="J28" s="3"/>
      <c r="K28" s="2"/>
      <c r="L28" s="3"/>
      <c r="M28" s="2"/>
      <c r="N28" s="3"/>
      <c r="O28" s="2"/>
      <c r="P28" s="3"/>
      <c r="Q28" s="2"/>
      <c r="R28" s="26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2:38" ht="15.6" x14ac:dyDescent="0.3">
      <c r="B29" s="50" t="s">
        <v>57</v>
      </c>
      <c r="C29" s="50"/>
      <c r="D29" s="50"/>
      <c r="E29" s="14">
        <f>COUNTA(B6:B25)</f>
        <v>20</v>
      </c>
      <c r="F29" s="8"/>
      <c r="G29" s="3"/>
      <c r="H29" s="3"/>
      <c r="I29" s="3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2:38" ht="14.4" customHeight="1" x14ac:dyDescent="0.3">
      <c r="E30" s="8"/>
      <c r="F30" s="8"/>
      <c r="G30" s="2"/>
      <c r="H30" s="35"/>
      <c r="I30" s="35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</row>
    <row r="31" spans="2:38" ht="14.4" customHeight="1" x14ac:dyDescent="0.3">
      <c r="B31" s="8"/>
      <c r="C31" s="8"/>
      <c r="D31" s="8"/>
      <c r="E31" s="8"/>
      <c r="F31" s="8"/>
      <c r="G31" s="35"/>
      <c r="H31" s="35"/>
      <c r="I31" s="35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5"/>
      <c r="Z31" s="5"/>
      <c r="AA31" s="5"/>
      <c r="AB31" s="5"/>
      <c r="AC31" s="5"/>
      <c r="AD31" s="5"/>
      <c r="AE31" s="5"/>
      <c r="AF31" s="5"/>
      <c r="AG31" s="2"/>
      <c r="AH31" s="2"/>
      <c r="AI31" s="2"/>
      <c r="AJ31" s="2"/>
      <c r="AK31" s="2"/>
      <c r="AL31" s="2"/>
    </row>
    <row r="32" spans="2:38" ht="14.4" customHeight="1" x14ac:dyDescent="0.3"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5"/>
      <c r="Z32" s="5"/>
      <c r="AA32" s="5"/>
      <c r="AB32" s="5"/>
      <c r="AC32" s="5"/>
      <c r="AD32" s="5"/>
      <c r="AE32" s="5"/>
      <c r="AF32" s="5"/>
      <c r="AG32" s="2"/>
      <c r="AH32" s="2"/>
      <c r="AI32" s="2"/>
      <c r="AJ32" s="2"/>
      <c r="AK32" s="2"/>
      <c r="AL32" s="2"/>
    </row>
    <row r="33" spans="7:38" ht="14.4" customHeight="1" x14ac:dyDescent="0.3"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2"/>
      <c r="AH33" s="2"/>
      <c r="AI33" s="2"/>
      <c r="AJ33" s="2"/>
      <c r="AK33" s="2"/>
      <c r="AL33" s="2"/>
    </row>
    <row r="34" spans="7:38" x14ac:dyDescent="0.3"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2"/>
      <c r="AH34" s="2"/>
      <c r="AI34" s="2"/>
      <c r="AJ34" s="2"/>
      <c r="AK34" s="2"/>
      <c r="AL34" s="2"/>
    </row>
    <row r="35" spans="7:38" x14ac:dyDescent="0.3"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2"/>
      <c r="AH35" s="2"/>
      <c r="AI35" s="2"/>
      <c r="AJ35" s="2"/>
      <c r="AK35" s="2"/>
      <c r="AL35" s="2"/>
    </row>
    <row r="36" spans="7:38" x14ac:dyDescent="0.3"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2"/>
      <c r="AH36" s="2"/>
      <c r="AI36" s="2"/>
      <c r="AJ36" s="2"/>
      <c r="AK36" s="2"/>
      <c r="AL36" s="2"/>
    </row>
    <row r="37" spans="7:38" x14ac:dyDescent="0.3"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2"/>
      <c r="AH37" s="2"/>
      <c r="AI37" s="2"/>
      <c r="AJ37" s="2"/>
      <c r="AK37" s="2"/>
      <c r="AL37" s="2"/>
    </row>
    <row r="38" spans="7:38" x14ac:dyDescent="0.3"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2"/>
      <c r="AH38" s="2"/>
      <c r="AI38" s="2"/>
      <c r="AJ38" s="2"/>
      <c r="AK38" s="2"/>
      <c r="AL38" s="2"/>
    </row>
    <row r="39" spans="7:38" x14ac:dyDescent="0.3"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2"/>
      <c r="AH39" s="2"/>
      <c r="AI39" s="2"/>
      <c r="AJ39" s="2"/>
      <c r="AK39" s="2"/>
      <c r="AL39" s="2"/>
    </row>
    <row r="40" spans="7:38" x14ac:dyDescent="0.3"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2"/>
      <c r="AH40" s="2"/>
      <c r="AI40" s="2"/>
      <c r="AJ40" s="2"/>
      <c r="AK40" s="2"/>
      <c r="AL40" s="2"/>
    </row>
    <row r="41" spans="7:38" x14ac:dyDescent="0.3"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2"/>
      <c r="AH41" s="2"/>
      <c r="AI41" s="2"/>
      <c r="AJ41" s="2"/>
      <c r="AK41" s="2"/>
      <c r="AL41" s="2"/>
    </row>
    <row r="42" spans="7:38" x14ac:dyDescent="0.3"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2"/>
      <c r="AH42" s="2"/>
      <c r="AI42" s="2"/>
      <c r="AJ42" s="2"/>
      <c r="AK42" s="2"/>
      <c r="AL42" s="2"/>
    </row>
    <row r="43" spans="7:38" x14ac:dyDescent="0.3"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2"/>
      <c r="AH43" s="2"/>
      <c r="AI43" s="2"/>
      <c r="AJ43" s="2"/>
      <c r="AK43" s="2"/>
      <c r="AL43" s="2"/>
    </row>
    <row r="44" spans="7:38" x14ac:dyDescent="0.3"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2"/>
      <c r="AH44" s="2"/>
      <c r="AI44" s="2"/>
      <c r="AJ44" s="2"/>
      <c r="AK44" s="2"/>
      <c r="AL44" s="2"/>
    </row>
    <row r="45" spans="7:38" x14ac:dyDescent="0.3"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2"/>
      <c r="AH45" s="2"/>
      <c r="AI45" s="2"/>
      <c r="AJ45" s="2"/>
      <c r="AK45" s="2"/>
      <c r="AL45" s="2"/>
    </row>
    <row r="46" spans="7:38" x14ac:dyDescent="0.3"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2"/>
      <c r="AH46" s="2"/>
      <c r="AI46" s="2"/>
      <c r="AJ46" s="2"/>
      <c r="AK46" s="2"/>
      <c r="AL46" s="2"/>
    </row>
    <row r="47" spans="7:38" x14ac:dyDescent="0.3"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2"/>
      <c r="AH47" s="2"/>
      <c r="AI47" s="2"/>
      <c r="AJ47" s="2"/>
      <c r="AK47" s="2"/>
      <c r="AL47" s="2"/>
    </row>
    <row r="48" spans="7:38" x14ac:dyDescent="0.3"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2"/>
      <c r="AH48" s="2"/>
      <c r="AI48" s="2"/>
      <c r="AJ48" s="2"/>
      <c r="AK48" s="2"/>
      <c r="AL48" s="2"/>
    </row>
    <row r="49" spans="7:38" x14ac:dyDescent="0.3"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2"/>
      <c r="AH49" s="2"/>
      <c r="AI49" s="2"/>
      <c r="AJ49" s="2"/>
      <c r="AK49" s="2"/>
      <c r="AL49" s="2"/>
    </row>
    <row r="50" spans="7:38" x14ac:dyDescent="0.3"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2"/>
      <c r="AH50" s="2"/>
      <c r="AI50" s="2"/>
      <c r="AJ50" s="2"/>
      <c r="AK50" s="2"/>
      <c r="AL50" s="2"/>
    </row>
    <row r="51" spans="7:38" x14ac:dyDescent="0.3"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2"/>
      <c r="AH51" s="2"/>
      <c r="AI51" s="2"/>
      <c r="AJ51" s="2"/>
      <c r="AK51" s="2"/>
      <c r="AL51" s="2"/>
    </row>
    <row r="52" spans="7:38" x14ac:dyDescent="0.3"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2"/>
      <c r="AH52" s="2"/>
      <c r="AI52" s="2"/>
      <c r="AJ52" s="2"/>
      <c r="AK52" s="2"/>
      <c r="AL52" s="2"/>
    </row>
    <row r="53" spans="7:38" x14ac:dyDescent="0.3"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</row>
    <row r="54" spans="7:38" x14ac:dyDescent="0.3"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</row>
    <row r="55" spans="7:38" x14ac:dyDescent="0.3"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7:38" x14ac:dyDescent="0.3"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7:38" x14ac:dyDescent="0.3"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7:38" x14ac:dyDescent="0.3"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7:38" x14ac:dyDescent="0.3"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7:38" x14ac:dyDescent="0.3"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</sheetData>
  <dataConsolidate/>
  <mergeCells count="3">
    <mergeCell ref="B2:H3"/>
    <mergeCell ref="B29:D29"/>
    <mergeCell ref="B27:D27"/>
  </mergeCells>
  <phoneticPr fontId="5" type="noConversion"/>
  <dataValidations count="1">
    <dataValidation type="list" allowBlank="1" showInputMessage="1" showErrorMessage="1" sqref="E6:F25" xr:uid="{434B16F3-2333-4D87-8521-E7374BF9DFA1}">
      <formula1>"январь, февраль, март, апрель, май, июнь, июль, август, сентябрь, октябрь, ноябрь, декабрь"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7A76B2-04A3-4F3F-9E31-9EEF90EABFFB}">
          <x14:formula1>
            <xm:f>'Полный каталог изданий'!$B$3:$B$42</xm:f>
          </x14:formula1>
          <xm:sqref>C6:C25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O43"/>
  <sheetViews>
    <sheetView tabSelected="1" zoomScaleNormal="100" workbookViewId="0">
      <selection activeCell="D8" sqref="D8"/>
    </sheetView>
  </sheetViews>
  <sheetFormatPr defaultRowHeight="14.4" x14ac:dyDescent="0.3"/>
  <cols>
    <col min="2" max="4" width="33.21875" style="43" customWidth="1"/>
  </cols>
  <sheetData>
    <row r="1" spans="1:15" x14ac:dyDescent="0.3">
      <c r="A1" s="6"/>
      <c r="B1" s="41"/>
      <c r="C1" s="41"/>
      <c r="D1" s="41"/>
      <c r="E1" s="6"/>
      <c r="F1" s="6"/>
      <c r="G1" s="6"/>
      <c r="H1" s="6"/>
      <c r="I1" s="15"/>
      <c r="J1" s="15"/>
    </row>
    <row r="2" spans="1:15" x14ac:dyDescent="0.3">
      <c r="A2" s="6"/>
      <c r="B2" s="44" t="s">
        <v>66</v>
      </c>
      <c r="C2" s="44" t="s">
        <v>65</v>
      </c>
      <c r="D2" s="38" t="s">
        <v>67</v>
      </c>
      <c r="E2" s="6"/>
      <c r="F2" s="6"/>
      <c r="G2" s="6"/>
      <c r="H2" s="6"/>
      <c r="I2" s="6"/>
      <c r="J2" s="6"/>
      <c r="K2" s="2"/>
      <c r="L2" s="2"/>
    </row>
    <row r="3" spans="1:15" x14ac:dyDescent="0.3">
      <c r="A3" s="6"/>
      <c r="B3" s="45" t="s">
        <v>10</v>
      </c>
      <c r="C3" s="42">
        <v>6</v>
      </c>
      <c r="D3" s="42">
        <v>4368</v>
      </c>
      <c r="E3" s="6"/>
      <c r="F3" s="6"/>
      <c r="G3" s="6"/>
      <c r="H3" s="6"/>
      <c r="I3" s="6"/>
      <c r="J3" s="6"/>
      <c r="K3" s="2"/>
      <c r="L3" s="2"/>
    </row>
    <row r="4" spans="1:15" x14ac:dyDescent="0.3">
      <c r="A4" s="6"/>
      <c r="B4" s="45" t="s">
        <v>27</v>
      </c>
      <c r="C4" s="42">
        <v>6</v>
      </c>
      <c r="D4" s="42">
        <v>4368</v>
      </c>
      <c r="E4" s="16"/>
      <c r="F4" s="17"/>
      <c r="G4" s="17"/>
      <c r="H4" s="17"/>
      <c r="I4" s="17"/>
      <c r="J4" s="6"/>
      <c r="K4" s="2"/>
      <c r="L4" s="2"/>
      <c r="N4" s="4"/>
      <c r="O4" s="4"/>
    </row>
    <row r="5" spans="1:15" x14ac:dyDescent="0.3">
      <c r="A5" s="6"/>
      <c r="B5" s="45" t="s">
        <v>0</v>
      </c>
      <c r="C5" s="42">
        <v>8</v>
      </c>
      <c r="D5" s="42">
        <v>5824</v>
      </c>
      <c r="E5" s="6"/>
      <c r="F5" s="6"/>
      <c r="G5" s="6"/>
      <c r="H5" s="6"/>
      <c r="I5" s="6"/>
      <c r="J5" s="6"/>
      <c r="K5" s="2"/>
      <c r="L5" s="2"/>
      <c r="M5" s="9"/>
      <c r="N5" s="4"/>
      <c r="O5" s="4"/>
    </row>
    <row r="6" spans="1:15" x14ac:dyDescent="0.3">
      <c r="A6" s="6"/>
      <c r="B6" s="45" t="s">
        <v>27</v>
      </c>
      <c r="C6" s="42">
        <v>8</v>
      </c>
      <c r="D6" s="42">
        <v>5824</v>
      </c>
      <c r="E6" s="6"/>
      <c r="F6" s="6"/>
      <c r="G6" s="6"/>
      <c r="H6" s="6"/>
      <c r="I6" s="6"/>
      <c r="J6" s="6"/>
      <c r="K6" s="2"/>
      <c r="L6" s="2"/>
      <c r="M6" s="4"/>
      <c r="N6" s="4"/>
      <c r="O6" s="4"/>
    </row>
    <row r="7" spans="1:15" x14ac:dyDescent="0.3">
      <c r="A7" s="6"/>
      <c r="B7" s="45" t="s">
        <v>7</v>
      </c>
      <c r="C7" s="42">
        <v>11</v>
      </c>
      <c r="D7" s="42">
        <v>8008</v>
      </c>
      <c r="E7" s="16"/>
      <c r="F7" s="16"/>
      <c r="G7" s="16"/>
      <c r="H7" s="16"/>
      <c r="I7" s="16"/>
      <c r="J7" s="6"/>
      <c r="K7" s="2"/>
      <c r="L7" s="2"/>
      <c r="M7" s="4"/>
      <c r="N7" s="4"/>
      <c r="O7" s="4"/>
    </row>
    <row r="8" spans="1:15" x14ac:dyDescent="0.3">
      <c r="A8" s="6"/>
      <c r="B8" s="45" t="s">
        <v>27</v>
      </c>
      <c r="C8" s="42">
        <v>11</v>
      </c>
      <c r="D8" s="42">
        <v>8008</v>
      </c>
      <c r="E8" s="16"/>
      <c r="F8" s="16"/>
      <c r="G8" s="16"/>
      <c r="H8" s="16"/>
      <c r="I8" s="16"/>
      <c r="J8" s="18"/>
      <c r="K8" s="2"/>
      <c r="L8" s="2"/>
      <c r="M8" s="4"/>
      <c r="N8" s="4"/>
      <c r="O8" s="4"/>
    </row>
    <row r="9" spans="1:15" x14ac:dyDescent="0.3">
      <c r="A9" s="6"/>
      <c r="B9" s="45" t="s">
        <v>11</v>
      </c>
      <c r="C9" s="42">
        <v>9</v>
      </c>
      <c r="D9" s="42">
        <v>5985</v>
      </c>
      <c r="E9" s="6"/>
      <c r="F9" s="6"/>
      <c r="G9" s="6"/>
      <c r="H9" s="6"/>
      <c r="I9" s="6"/>
      <c r="J9" s="6"/>
      <c r="K9" s="2"/>
      <c r="L9" s="2"/>
      <c r="M9" s="4"/>
      <c r="N9" s="4"/>
      <c r="O9" s="4"/>
    </row>
    <row r="10" spans="1:15" x14ac:dyDescent="0.3">
      <c r="A10" s="6"/>
      <c r="B10" s="45" t="s">
        <v>35</v>
      </c>
      <c r="C10" s="42">
        <v>9</v>
      </c>
      <c r="D10" s="42">
        <v>5985</v>
      </c>
      <c r="E10" s="6"/>
      <c r="F10" s="6"/>
      <c r="G10" s="6"/>
      <c r="H10" s="6"/>
      <c r="I10" s="6"/>
      <c r="J10" s="6"/>
      <c r="K10" s="2"/>
      <c r="L10" s="2"/>
      <c r="M10" s="4"/>
      <c r="N10" s="4"/>
      <c r="O10" s="4"/>
    </row>
    <row r="11" spans="1:15" x14ac:dyDescent="0.3">
      <c r="A11" s="2"/>
      <c r="B11" s="45" t="s">
        <v>4</v>
      </c>
      <c r="C11" s="42">
        <v>12</v>
      </c>
      <c r="D11" s="42">
        <v>8736</v>
      </c>
      <c r="E11" s="2"/>
      <c r="F11" s="2"/>
      <c r="G11" s="2"/>
      <c r="H11" s="2"/>
      <c r="M11" s="4"/>
      <c r="N11" s="4"/>
      <c r="O11" s="4"/>
    </row>
    <row r="12" spans="1:15" x14ac:dyDescent="0.3">
      <c r="A12" s="2"/>
      <c r="B12" s="45" t="s">
        <v>30</v>
      </c>
      <c r="C12" s="42">
        <v>12</v>
      </c>
      <c r="D12" s="42">
        <v>8736</v>
      </c>
      <c r="E12" s="2"/>
      <c r="F12" s="2"/>
      <c r="G12" s="2"/>
      <c r="H12" s="2"/>
      <c r="M12" s="4"/>
      <c r="N12" s="4"/>
      <c r="O12" s="4"/>
    </row>
    <row r="13" spans="1:15" x14ac:dyDescent="0.3">
      <c r="A13" s="2"/>
      <c r="B13" s="45" t="s">
        <v>16</v>
      </c>
      <c r="C13" s="42">
        <v>6</v>
      </c>
      <c r="D13" s="42">
        <v>3990</v>
      </c>
      <c r="E13" s="2"/>
      <c r="F13" s="2"/>
      <c r="G13" s="2"/>
      <c r="H13" s="2"/>
      <c r="M13" s="4"/>
      <c r="N13" s="4"/>
      <c r="O13" s="4"/>
    </row>
    <row r="14" spans="1:15" x14ac:dyDescent="0.3">
      <c r="A14" s="2"/>
      <c r="B14" s="45" t="s">
        <v>35</v>
      </c>
      <c r="C14" s="42">
        <v>6</v>
      </c>
      <c r="D14" s="42">
        <v>3990</v>
      </c>
      <c r="E14" s="2"/>
      <c r="F14" s="2"/>
      <c r="G14" s="2"/>
      <c r="H14" s="2"/>
      <c r="M14" s="4"/>
      <c r="N14" s="4"/>
      <c r="O14" s="4"/>
    </row>
    <row r="15" spans="1:15" x14ac:dyDescent="0.3">
      <c r="A15" s="2"/>
      <c r="B15" s="45" t="s">
        <v>2</v>
      </c>
      <c r="C15" s="42">
        <v>6</v>
      </c>
      <c r="D15" s="42">
        <v>2483.6999999999998</v>
      </c>
      <c r="E15" s="2"/>
      <c r="F15" s="2"/>
      <c r="G15" s="2"/>
      <c r="H15" s="2"/>
      <c r="M15" s="4"/>
      <c r="N15" s="4"/>
      <c r="O15" s="4"/>
    </row>
    <row r="16" spans="1:15" x14ac:dyDescent="0.3">
      <c r="A16" s="2"/>
      <c r="B16" s="45" t="s">
        <v>29</v>
      </c>
      <c r="C16" s="42">
        <v>6</v>
      </c>
      <c r="D16" s="42">
        <v>2483.6999999999998</v>
      </c>
      <c r="E16" s="2"/>
      <c r="F16" s="2"/>
      <c r="G16" s="2"/>
      <c r="H16" s="2"/>
      <c r="M16" s="4"/>
      <c r="N16" s="4"/>
      <c r="O16" s="4"/>
    </row>
    <row r="17" spans="1:15" x14ac:dyDescent="0.3">
      <c r="A17" s="2"/>
      <c r="B17" s="45" t="s">
        <v>6</v>
      </c>
      <c r="C17" s="42">
        <v>6</v>
      </c>
      <c r="D17" s="42">
        <v>4368</v>
      </c>
      <c r="E17" s="2"/>
      <c r="F17" s="2"/>
      <c r="G17" s="2"/>
      <c r="H17" s="2"/>
      <c r="M17" s="4"/>
      <c r="N17" s="4"/>
      <c r="O17" s="4"/>
    </row>
    <row r="18" spans="1:15" x14ac:dyDescent="0.3">
      <c r="A18" s="2"/>
      <c r="B18" s="45" t="s">
        <v>30</v>
      </c>
      <c r="C18" s="42">
        <v>6</v>
      </c>
      <c r="D18" s="42">
        <v>4368</v>
      </c>
      <c r="E18" s="2"/>
      <c r="F18" s="2"/>
      <c r="G18" s="2"/>
      <c r="H18" s="2"/>
      <c r="M18" s="4"/>
      <c r="N18" s="4"/>
      <c r="O18" s="4"/>
    </row>
    <row r="19" spans="1:15" x14ac:dyDescent="0.3">
      <c r="B19" s="45" t="s">
        <v>19</v>
      </c>
      <c r="C19" s="42">
        <v>4</v>
      </c>
      <c r="D19" s="42">
        <v>1655.8</v>
      </c>
      <c r="M19" s="4"/>
      <c r="N19" s="4"/>
      <c r="O19" s="4"/>
    </row>
    <row r="20" spans="1:15" x14ac:dyDescent="0.3">
      <c r="B20" s="45" t="s">
        <v>32</v>
      </c>
      <c r="C20" s="42">
        <v>4</v>
      </c>
      <c r="D20" s="42">
        <v>1655.8</v>
      </c>
      <c r="M20" s="4"/>
      <c r="N20" s="4"/>
      <c r="O20" s="4"/>
    </row>
    <row r="21" spans="1:15" x14ac:dyDescent="0.3">
      <c r="B21" s="45" t="s">
        <v>8</v>
      </c>
      <c r="C21" s="42">
        <v>1</v>
      </c>
      <c r="D21" s="42">
        <v>651</v>
      </c>
      <c r="M21" s="4"/>
      <c r="N21" s="4"/>
      <c r="O21" s="4"/>
    </row>
    <row r="22" spans="1:15" x14ac:dyDescent="0.3">
      <c r="B22" s="45">
        <v>1984</v>
      </c>
      <c r="C22" s="42">
        <v>1</v>
      </c>
      <c r="D22" s="42">
        <v>651</v>
      </c>
      <c r="M22" s="4"/>
      <c r="N22" s="4"/>
      <c r="O22" s="4"/>
    </row>
    <row r="23" spans="1:15" x14ac:dyDescent="0.3">
      <c r="B23" s="45" t="s">
        <v>18</v>
      </c>
      <c r="C23" s="42">
        <v>4</v>
      </c>
      <c r="D23" s="42">
        <v>884.52</v>
      </c>
      <c r="M23" s="4"/>
      <c r="N23" s="4"/>
      <c r="O23" s="4"/>
    </row>
    <row r="24" spans="1:15" x14ac:dyDescent="0.3">
      <c r="B24" s="45" t="s">
        <v>43</v>
      </c>
      <c r="C24" s="42">
        <v>4</v>
      </c>
      <c r="D24" s="42">
        <v>884.52</v>
      </c>
      <c r="M24" s="4"/>
    </row>
    <row r="25" spans="1:15" x14ac:dyDescent="0.3">
      <c r="B25" s="45" t="s">
        <v>13</v>
      </c>
      <c r="C25" s="42">
        <v>8</v>
      </c>
      <c r="D25" s="42">
        <v>5824</v>
      </c>
      <c r="M25" s="4"/>
    </row>
    <row r="26" spans="1:15" x14ac:dyDescent="0.3">
      <c r="B26" s="45" t="s">
        <v>27</v>
      </c>
      <c r="C26" s="42">
        <v>8</v>
      </c>
      <c r="D26" s="42">
        <v>5824</v>
      </c>
    </row>
    <row r="27" spans="1:15" x14ac:dyDescent="0.3">
      <c r="B27" s="45" t="s">
        <v>9</v>
      </c>
      <c r="C27" s="42">
        <v>12</v>
      </c>
      <c r="D27" s="42">
        <v>8736</v>
      </c>
    </row>
    <row r="28" spans="1:15" x14ac:dyDescent="0.3">
      <c r="B28" s="45" t="s">
        <v>33</v>
      </c>
      <c r="C28" s="42">
        <v>12</v>
      </c>
      <c r="D28" s="42">
        <v>8736</v>
      </c>
    </row>
    <row r="29" spans="1:15" x14ac:dyDescent="0.3">
      <c r="B29" s="45" t="s">
        <v>15</v>
      </c>
      <c r="C29" s="42">
        <v>6</v>
      </c>
      <c r="D29" s="42">
        <v>4368</v>
      </c>
    </row>
    <row r="30" spans="1:15" x14ac:dyDescent="0.3">
      <c r="B30" s="45" t="s">
        <v>27</v>
      </c>
      <c r="C30" s="42">
        <v>6</v>
      </c>
      <c r="D30" s="42">
        <v>4368</v>
      </c>
    </row>
    <row r="31" spans="1:15" x14ac:dyDescent="0.3">
      <c r="B31" s="45" t="s">
        <v>5</v>
      </c>
      <c r="C31" s="42">
        <v>6</v>
      </c>
      <c r="D31" s="42">
        <v>3990</v>
      </c>
    </row>
    <row r="32" spans="1:15" x14ac:dyDescent="0.3">
      <c r="B32" s="45" t="s">
        <v>31</v>
      </c>
      <c r="C32" s="42">
        <v>6</v>
      </c>
      <c r="D32" s="42">
        <v>3990</v>
      </c>
    </row>
    <row r="33" spans="2:4" x14ac:dyDescent="0.3">
      <c r="B33" s="45" t="s">
        <v>1</v>
      </c>
      <c r="C33" s="42">
        <v>6</v>
      </c>
      <c r="D33" s="42">
        <v>2483.6999999999998</v>
      </c>
    </row>
    <row r="34" spans="2:4" x14ac:dyDescent="0.3">
      <c r="B34" s="45" t="s">
        <v>29</v>
      </c>
      <c r="C34" s="42">
        <v>6</v>
      </c>
      <c r="D34" s="42">
        <v>2483.6999999999998</v>
      </c>
    </row>
    <row r="35" spans="2:4" x14ac:dyDescent="0.3">
      <c r="B35" s="45" t="s">
        <v>12</v>
      </c>
      <c r="C35" s="42">
        <v>6</v>
      </c>
      <c r="D35" s="42">
        <v>4368</v>
      </c>
    </row>
    <row r="36" spans="2:4" x14ac:dyDescent="0.3">
      <c r="B36" s="45" t="s">
        <v>27</v>
      </c>
      <c r="C36" s="42">
        <v>6</v>
      </c>
      <c r="D36" s="42">
        <v>4368</v>
      </c>
    </row>
    <row r="37" spans="2:4" x14ac:dyDescent="0.3">
      <c r="B37" s="45" t="s">
        <v>14</v>
      </c>
      <c r="C37" s="42">
        <v>7</v>
      </c>
      <c r="D37" s="42">
        <v>1547.91</v>
      </c>
    </row>
    <row r="38" spans="2:4" x14ac:dyDescent="0.3">
      <c r="B38" s="45" t="s">
        <v>38</v>
      </c>
      <c r="C38" s="42">
        <v>7</v>
      </c>
      <c r="D38" s="42">
        <v>1547.91</v>
      </c>
    </row>
    <row r="39" spans="2:4" x14ac:dyDescent="0.3">
      <c r="B39" s="45" t="s">
        <v>17</v>
      </c>
      <c r="C39" s="42">
        <v>6</v>
      </c>
      <c r="D39" s="42">
        <v>3990</v>
      </c>
    </row>
    <row r="40" spans="2:4" x14ac:dyDescent="0.3">
      <c r="B40" s="45" t="s">
        <v>37</v>
      </c>
      <c r="C40" s="42">
        <v>6</v>
      </c>
      <c r="D40" s="42">
        <v>3990</v>
      </c>
    </row>
    <row r="41" spans="2:4" x14ac:dyDescent="0.3">
      <c r="B41" s="45" t="s">
        <v>3</v>
      </c>
      <c r="C41" s="42">
        <v>3</v>
      </c>
      <c r="D41" s="42">
        <v>1995</v>
      </c>
    </row>
    <row r="42" spans="2:4" x14ac:dyDescent="0.3">
      <c r="B42" s="45" t="s">
        <v>28</v>
      </c>
      <c r="C42" s="42">
        <v>3</v>
      </c>
      <c r="D42" s="42">
        <v>1995</v>
      </c>
    </row>
    <row r="43" spans="2:4" x14ac:dyDescent="0.3">
      <c r="B43" s="32" t="s">
        <v>63</v>
      </c>
      <c r="C43" s="42">
        <v>133</v>
      </c>
      <c r="D43" s="42">
        <v>84256.62999999999</v>
      </c>
    </row>
  </sheetData>
  <conditionalFormatting sqref="E8:I8">
    <cfRule type="cellIs" dxfId="295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Полный каталог изданий</vt:lpstr>
      <vt:lpstr>Основной рабочий лист</vt:lpstr>
      <vt:lpstr>Сводная ведомость на оплату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Nikita Gordeev</cp:lastModifiedBy>
  <dcterms:created xsi:type="dcterms:W3CDTF">2021-10-20T08:36:16Z</dcterms:created>
  <dcterms:modified xsi:type="dcterms:W3CDTF">2021-12-15T19:00:05Z</dcterms:modified>
</cp:coreProperties>
</file>