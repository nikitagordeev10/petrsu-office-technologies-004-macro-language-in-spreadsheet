
<file path=[Content_Types].xml><?xml version="1.0" encoding="utf-8"?>
<Types xmlns="http://schemas.openxmlformats.org/package/2006/content-types"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tgor\YandexDisk\Объёмные объекты\ПРОЕКТЫ - ПетрГУ\1 курс, 1 семестр\Офисные технологии\Лабораторная работа 3\"/>
    </mc:Choice>
  </mc:AlternateContent>
  <xr:revisionPtr revIDLastSave="0" documentId="13_ncr:1_{26756EC6-9574-42FD-9E2D-8DBDD9586CBB}" xr6:coauthVersionLast="47" xr6:coauthVersionMax="47" xr10:uidLastSave="{00000000-0000-0000-0000-000000000000}"/>
  <bookViews>
    <workbookView xWindow="-108" yWindow="-108" windowWidth="23256" windowHeight="12720" tabRatio="890" xr2:uid="{FFB09260-45E4-4221-A1DF-CDE12C0CFB2C}"/>
  </bookViews>
  <sheets>
    <sheet name="Регистрационный журнал" sheetId="4" r:id="rId1"/>
    <sheet name=" Телефонный справочник" sheetId="3" r:id="rId2"/>
    <sheet name="Сводный отчет" sheetId="26" r:id="rId3"/>
  </sheets>
  <externalReferences>
    <externalReference r:id="rId4"/>
  </externalReferences>
  <definedNames>
    <definedName name="_xlcn.WorksheetConnection_22107Иванов3version1.xlsbLog1" hidden="1">[1]!Log[#Data]</definedName>
    <definedName name="_xlcn.WorksheetConnection_22107Иванов3version1.xlsbPhonebook1" hidden="1">[1]!Phonebook[#Data]</definedName>
    <definedName name="_xlcn.WorksheetConnection_3ПлатазаInternet2.xlsmТаблица11" hidden="1">Таблица1[]</definedName>
  </definedNames>
  <calcPr calcId="191029"/>
  <pivotCaches>
    <pivotCache cacheId="712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Таблица1" name="Таблица1" connection="WorksheetConnection_3) Плата за Internet - 2.xlsm!Таблица1"/>
          <x15:modelTable id="Phonebook-6ee686cb-5774-4914-8997-8422241c940c" name="Phonebook" connection="WorksheetConnection_22107 Иванов 3 (version 1).xlsb!Phonebook"/>
          <x15:modelTable id="Log-87b25060-8355-4b1e-9733-f92d7ec291f2" name="Log" connection="WorksheetConnection_22107 Иванов 3 (version 1).xlsb!Log"/>
        </x15:modelTables>
        <x15:modelRelationships>
          <x15:modelRelationship fromTable="Log" fromColumn="Номер" toTable="Phonebook" toColumn="Номер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Log" columnName="Время" columnId="Время">
                <x16:calculatedTimeColumn columnName="Время (Час)" columnId="Время (Час)" contentType="hours" isSelected="1"/>
                <x16:calculatedTimeColumn columnName="Время (Минута)" columnId="Время (Минута)" contentType="minute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" i="4" l="1" a="1"/>
  <c r="F6" i="4" s="1"/>
  <c r="F7" i="4" a="1"/>
  <c r="F7" i="4" s="1"/>
  <c r="G6" i="4"/>
  <c r="G7" i="4"/>
  <c r="G8" i="4"/>
  <c r="F8" i="4" l="1" a="1"/>
  <c r="F8" i="4" s="1"/>
  <c r="F3" i="4" a="1"/>
  <c r="F3" i="4" s="1"/>
  <c r="F4" i="4" a="1"/>
  <c r="F4" i="4" s="1"/>
  <c r="G3" i="4" l="1"/>
  <c r="G4" i="4"/>
  <c r="F9" i="4" a="1"/>
  <c r="F9" i="4" s="1"/>
  <c r="G9" i="4" s="1"/>
  <c r="F10" i="4" a="1"/>
  <c r="F10" i="4" s="1"/>
  <c r="G10" i="4" s="1"/>
  <c r="F11" i="4" a="1"/>
  <c r="F11" i="4" s="1"/>
  <c r="G11" i="4" s="1"/>
  <c r="F12" i="4" a="1"/>
  <c r="F12" i="4" s="1"/>
  <c r="G12" i="4" s="1"/>
  <c r="F5" i="4" a="1"/>
  <c r="F5" i="4" s="1"/>
  <c r="G5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7BFC9C-102B-4DE0-9ED7-CA0C6BBF9ADE}" keepAlive="1" name="ThisWorkbookDataModel" description="Модель данных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22107 Иванов 3 (version 1).xlsb!Log" type="102" refreshedVersion="7" minRefreshableVersion="5">
    <extLst>
      <ext xmlns:x15="http://schemas.microsoft.com/office/spreadsheetml/2010/11/main" uri="{DE250136-89BD-433C-8126-D09CA5730AF9}">
        <x15:connection id="Log-87b25060-8355-4b1e-9733-f92d7ec291f2" autoDelete="1">
          <x15:rangePr sourceName="_xlcn.WorksheetConnection_22107Иванов3version1.xlsbLog1"/>
        </x15:connection>
      </ext>
    </extLst>
  </connection>
  <connection id="3" xr16:uid="{00000000-0015-0000-FFFF-FFFF02000000}" name="WorksheetConnection_22107 Иванов 3 (version 1).xlsb!Phonebook" type="102" refreshedVersion="7" minRefreshableVersion="5" saveData="1">
    <extLst>
      <ext xmlns:x15="http://schemas.microsoft.com/office/spreadsheetml/2010/11/main" uri="{DE250136-89BD-433C-8126-D09CA5730AF9}">
        <x15:connection id="Phonebook-6ee686cb-5774-4914-8997-8422241c940c">
          <x15:rangePr sourceName="_xlcn.WorksheetConnection_22107Иванов3version1.xlsbPhonebook1"/>
        </x15:connection>
      </ext>
    </extLst>
  </connection>
  <connection id="4" xr16:uid="{B409F0FD-4AB4-4E59-BCCD-0A9D9AF9DA02}" name="WorksheetConnection_3) Плата за Internet - 2.xlsm!Таблица1" type="102" refreshedVersion="7" minRefreshableVersion="5">
    <extLst>
      <ext xmlns:x15="http://schemas.microsoft.com/office/spreadsheetml/2010/11/main" uri="{DE250136-89BD-433C-8126-D09CA5730AF9}">
        <x15:connection id="Таблица1">
          <x15:rangePr sourceName="_xlcn.WorksheetConnection_3ПлатазаInternet2.xlsmТаблица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<sst xmlns="http://schemas.openxmlformats.org/spreadsheetml/2006/main" count="32" uniqueCount="22">
  <si>
    <t>телефонный номер</t>
  </si>
  <si>
    <t>тип события</t>
  </si>
  <si>
    <t>подключение</t>
  </si>
  <si>
    <t>отключение</t>
  </si>
  <si>
    <t>момент времени</t>
  </si>
  <si>
    <t>зарегистрированные клиенты</t>
  </si>
  <si>
    <t>Платонов Фёдор</t>
  </si>
  <si>
    <t>Корнеева Екатерина</t>
  </si>
  <si>
    <t>Сухова Дарья</t>
  </si>
  <si>
    <t>Семенова Мия</t>
  </si>
  <si>
    <t>Бирюков Алексей</t>
  </si>
  <si>
    <t>Зубков Артём</t>
  </si>
  <si>
    <t>Денисова Лада</t>
  </si>
  <si>
    <t>Игнатов Фёдор</t>
  </si>
  <si>
    <t>Ефимова Ксения</t>
  </si>
  <si>
    <t>дата</t>
  </si>
  <si>
    <t>Фамилия и Имя абонента</t>
  </si>
  <si>
    <t>Стоимость услуг</t>
  </si>
  <si>
    <t>продолжительность подключения</t>
  </si>
  <si>
    <t>Тариф (₽/мин)</t>
  </si>
  <si>
    <t>оплата</t>
  </si>
  <si>
    <t>Итого: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</si>
</sst>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₽&quot;_-;\-* #,##0.00\ &quot;₽&quot;_-;_-* &quot;-&quot;??\ &quot;₽&quot;_-;_-@_-"/>
    <numFmt numFmtId="164" formatCode="h:mm;@"/>
    <numFmt numFmtId="165" formatCode="#,##0.00\ &quot;₽&quot;"/>
    <numFmt numFmtId="169" formatCode="#,##0\ _₽;\-#,##0\ _₽"/>
  </numFmts>
  <fonts count="2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3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Border="1" applyAlignment="1">
      <alignment horizontal="center" vertical="center" wrapText="1"/>
    </xf>
    <xf numFmtId="44" fontId="0" fillId="0" borderId="1" xfId="0" applyNumberFormat="1" applyBorder="1"/>
    <xf numFmtId="169" fontId="0" fillId="0" borderId="0" xfId="0" applyNumberFormat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165" fontId="0" fillId="2" borderId="2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169" fontId="0" fillId="3" borderId="1" xfId="0" applyNumberFormat="1" applyFill="1" applyBorder="1" applyAlignment="1">
      <alignment horizontal="left"/>
    </xf>
    <xf numFmtId="14" fontId="0" fillId="3" borderId="1" xfId="0" applyNumberFormat="1" applyFill="1" applyBorder="1" applyAlignment="1">
      <alignment horizontal="left" indent="1"/>
    </xf>
    <xf numFmtId="164" fontId="0" fillId="3" borderId="1" xfId="0" applyNumberFormat="1" applyFill="1" applyBorder="1" applyAlignment="1">
      <alignment horizontal="left" indent="2"/>
    </xf>
    <xf numFmtId="0" fontId="0" fillId="3" borderId="1" xfId="0" applyFill="1" applyBorder="1" applyAlignment="1">
      <alignment horizontal="left"/>
    </xf>
    <xf numFmtId="0" fontId="0" fillId="3" borderId="1" xfId="0" applyNumberFormat="1" applyFill="1" applyBorder="1" applyAlignment="1">
      <alignment horizontal="center"/>
    </xf>
  </cellXfs>
  <cellStyles count="1">
    <cellStyle name="Обычный" xfId="0" builtinId="0"/>
  </cellStyles>
  <dxfs count="46">
    <dxf>
      <alignment horizontal="center"/>
    </dxf>
    <dxf>
      <alignment horizontal="center"/>
    </dxf>
    <dxf>
      <alignment horizontal="general"/>
    </dxf>
    <dxf>
      <alignment horizontal="general"/>
    </dxf>
    <dxf>
      <alignment horizontal="general"/>
    </dxf>
    <dxf>
      <alignment horizontal="center"/>
    </dxf>
    <dxf>
      <alignment horizontal="left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65" formatCode="#,##0.00\ &quot;₽&quot;"/>
      <fill>
        <patternFill patternType="solid">
          <fgColor theme="4" tint="0.79998168889431442"/>
          <bgColor theme="4" tint="0.79998168889431442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69" formatCode="#,##0\ _₽;\-#,##0\ _₽"/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h:mm;@"/>
      <alignment horizontal="center" textRotation="0" wrapText="0" indent="0" justifyLastLine="0" shrinkToFit="0" readingOrder="0"/>
    </dxf>
    <dxf>
      <numFmt numFmtId="164" formatCode="h:mm;@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powerPivotData" Target="model/item.data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tgor/YandexDisk/&#1054;&#1073;&#1098;&#1105;&#1084;&#1085;&#1099;&#1077;%20&#1086;&#1073;&#1098;&#1077;&#1082;&#1090;&#1099;/&#1055;&#1056;&#1054;&#1045;&#1050;&#1058;&#1067;%20-%20&#1055;&#1077;&#1090;&#1088;&#1043;&#1059;/1%20&#1082;&#1091;&#1088;&#1089;,%201%20&#1089;&#1077;&#1084;&#1077;&#1089;&#1090;&#1088;/%23%20&#1050;&#1086;&#1085;&#1089;&#1087;&#1077;&#1082;&#1090;&#1099;%20&#1080;%20&#1092;&#1086;&#1088;&#1084;&#1091;&#1083;&#1099;/&#1043;&#1059;&#1056;/&#1051;&#1072;&#1073;&#1086;&#1088;&#1072;&#1090;&#1086;&#1088;&#1085;&#1099;&#1077;%20&#1087;&#1086;%20&#1086;&#1092;&#1080;&#1089;&#1085;&#1099;&#1084;%20&#1090;&#1077;&#1093;&#1085;&#1086;&#1083;&#1086;&#1075;&#1080;&#1103;&#1084;/&#1051;&#1072;&#1073;&#1086;&#1088;&#1072;&#1090;&#1086;&#1088;&#1085;&#1072;&#1103;%203/22107%20&#1048;&#1074;&#1072;&#1085;&#1086;&#1074;%203.%20&#1055;&#1083;&#1072;&#1090;&#1072;%20&#1079;&#1072;%20Internet%20-%20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2"/>
      <sheetName val="Log"/>
      <sheetName val="Телефонный справочник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kita Gordeev" refreshedDate="44546.382293981478" createdVersion="7" refreshedVersion="7" minRefreshableVersion="3" recordCount="10" xr:uid="{8D714383-A492-4764-8F20-C1324B54F163}">
  <cacheSource type="worksheet">
    <worksheetSource name="Таблица2"/>
  </cacheSource>
  <cacheFields count="6">
    <cacheField name="телефонный номер" numFmtId="169">
      <sharedItems containsSemiMixedTypes="0" containsString="0" containsNumber="1" containsInteger="1" minValue="1111111" maxValue="6666666" count="5">
        <n v="1111111"/>
        <n v="2222222"/>
        <n v="3333333"/>
        <n v="5555555"/>
        <n v="6666666"/>
      </sharedItems>
    </cacheField>
    <cacheField name="тип события" numFmtId="0">
      <sharedItems count="2">
        <s v="подключение"/>
        <s v="отключение"/>
      </sharedItems>
    </cacheField>
    <cacheField name="дата" numFmtId="14">
      <sharedItems containsSemiMixedTypes="0" containsNonDate="0" containsDate="1" containsString="0" minDate="2021-01-21T00:00:00" maxDate="2021-01-22T00:00:00" count="1">
        <d v="2021-01-21T00:00:00"/>
      </sharedItems>
    </cacheField>
    <cacheField name="момент времени" numFmtId="164">
      <sharedItems containsSemiMixedTypes="0" containsNonDate="0" containsDate="1" containsString="0" minDate="1899-12-30T12:35:00" maxDate="1899-12-30T21:35:00"/>
    </cacheField>
    <cacheField name="продолжительность подключения" numFmtId="164">
      <sharedItems containsSemiMixedTypes="0" containsNonDate="0" containsDate="1" containsString="0" minDate="1899-12-30T00:00:00" maxDate="1899-12-31T00:00:00" count="5">
        <d v="1899-12-30T00:00:00"/>
        <d v="1899-12-30T02:00:00"/>
        <d v="1899-12-30T05:00:00"/>
        <d v="1899-12-30T04:00:00"/>
        <d v="1899-12-30T04:35:00"/>
      </sharedItems>
    </cacheField>
    <cacheField name="оплата" numFmtId="165">
      <sharedItems containsSemiMixedTypes="0" containsString="0" containsNumber="1" minValue="0" maxValue="1500.0000000000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x v="0"/>
    <x v="0"/>
    <d v="1899-12-30T12:35:00"/>
    <x v="0"/>
    <n v="0"/>
  </r>
  <r>
    <x v="1"/>
    <x v="0"/>
    <x v="0"/>
    <d v="1899-12-30T13:35:00"/>
    <x v="0"/>
    <n v="0"/>
  </r>
  <r>
    <x v="0"/>
    <x v="1"/>
    <x v="0"/>
    <d v="1899-12-30T14:35:00"/>
    <x v="1"/>
    <n v="600.00000000000023"/>
  </r>
  <r>
    <x v="2"/>
    <x v="0"/>
    <x v="0"/>
    <d v="1899-12-30T15:35:00"/>
    <x v="0"/>
    <n v="0"/>
  </r>
  <r>
    <x v="3"/>
    <x v="0"/>
    <x v="0"/>
    <d v="1899-12-30T16:00:00"/>
    <x v="0"/>
    <n v="0"/>
  </r>
  <r>
    <x v="4"/>
    <x v="0"/>
    <x v="0"/>
    <d v="1899-12-30T17:35:00"/>
    <x v="0"/>
    <n v="0"/>
  </r>
  <r>
    <x v="1"/>
    <x v="1"/>
    <x v="0"/>
    <d v="1899-12-30T18:35:00"/>
    <x v="2"/>
    <n v="1500.000000000005"/>
  </r>
  <r>
    <x v="2"/>
    <x v="1"/>
    <x v="0"/>
    <d v="1899-12-30T19:35:00"/>
    <x v="3"/>
    <n v="1199.999999999995"/>
  </r>
  <r>
    <x v="3"/>
    <x v="1"/>
    <x v="0"/>
    <d v="1899-12-30T20:35:00"/>
    <x v="4"/>
    <n v="1375.0000000000005"/>
  </r>
  <r>
    <x v="4"/>
    <x v="1"/>
    <x v="0"/>
    <d v="1899-12-30T21:35:00"/>
    <x v="3"/>
    <n v="1200.00000000000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10A762-9A4E-41AC-AD57-3A8CB3014607}" name="Сводная таблица32" cacheId="712" applyNumberFormats="0" applyBorderFormats="0" applyFontFormats="0" applyPatternFormats="0" applyAlignmentFormats="0" applyWidthHeightFormats="1" dataCaption="Значения" grandTotalCaption="Итого:" updatedVersion="7" minRefreshableVersion="3" useAutoFormatting="1" itemPrintTitles="1" createdVersion="7" indent="0" outline="1" outlineData="1" multipleFieldFilters="0" rowHeaderCaption="Фамилия и Имя абонента">
  <location ref="B3:C7" firstHeaderRow="1" firstDataRow="1" firstDataCol="1"/>
  <pivotFields count="6">
    <pivotField axis="axisRow" numFmtId="169" showAll="0">
      <items count="6">
        <item n="Платонов Фёдор" x="0"/>
        <item n="Корнеева Екатерина" h="1" x="1"/>
        <item n="Сухова Дарья" h="1" x="2"/>
        <item n="Бирюков Алексей" h="1" x="3"/>
        <item n="Зубков Артём" h="1" x="4"/>
        <item t="default"/>
      </items>
    </pivotField>
    <pivotField showAll="0">
      <items count="3">
        <item x="1"/>
        <item x="0"/>
        <item t="default"/>
      </items>
    </pivotField>
    <pivotField axis="axisRow" numFmtId="14" showAll="0">
      <items count="2">
        <item x="0"/>
        <item t="default"/>
      </items>
    </pivotField>
    <pivotField numFmtId="164" showAll="0"/>
    <pivotField axis="axisRow" numFmtId="164" showAll="0">
      <items count="6">
        <item h="1" x="0"/>
        <item x="1"/>
        <item x="3"/>
        <item x="4"/>
        <item x="2"/>
        <item t="default"/>
      </items>
    </pivotField>
    <pivotField dataField="1" numFmtId="165" showAll="0"/>
  </pivotFields>
  <rowFields count="3">
    <field x="0"/>
    <field x="2"/>
    <field x="4"/>
  </rowFields>
  <rowItems count="4">
    <i>
      <x/>
    </i>
    <i r="1">
      <x/>
    </i>
    <i r="2">
      <x v="1"/>
    </i>
    <i t="grand">
      <x/>
    </i>
  </rowItems>
  <colItems count="1">
    <i/>
  </colItems>
  <dataFields count="1">
    <dataField name="Стоимость услуг" fld="5" baseField="0" baseItem="0"/>
  </dataFields>
  <formats count="26">
    <format dxfId="32">
      <pivotArea dataOnly="0" labelOnly="1" outline="0" axis="axisValues" fieldPosition="0"/>
    </format>
    <format dxfId="30">
      <pivotArea dataOnly="0" labelOnly="1" outline="0" axis="axisValues" fieldPosition="0"/>
    </format>
    <format dxfId="28">
      <pivotArea field="0" type="button" dataOnly="0" labelOnly="1" outline="0" axis="axisRow" fieldPosition="0"/>
    </format>
    <format dxfId="24">
      <pivotArea type="all" dataOnly="0" outline="0" fieldPosition="0"/>
    </format>
    <format dxfId="23">
      <pivotArea outline="0" collapsedLevelsAreSubtotals="1" fieldPosition="0"/>
    </format>
    <format dxfId="22">
      <pivotArea field="0" type="button" dataOnly="0" labelOnly="1" outline="0" axis="axisRow" fieldPosition="0"/>
    </format>
    <format dxfId="21">
      <pivotArea dataOnly="0" labelOnly="1" fieldPosition="0">
        <references count="1">
          <reference field="0" count="0"/>
        </references>
      </pivotArea>
    </format>
    <format dxfId="20">
      <pivotArea dataOnly="0" labelOnly="1" grandRow="1" outline="0" fieldPosition="0"/>
    </format>
    <format dxfId="19">
      <pivotArea dataOnly="0" labelOnly="1" fieldPosition="0">
        <references count="2">
          <reference field="0" count="0" selected="0"/>
          <reference field="2" count="0"/>
        </references>
      </pivotArea>
    </format>
    <format dxfId="18">
      <pivotArea dataOnly="0" labelOnly="1" fieldPosition="0">
        <references count="3">
          <reference field="0" count="0" selected="0"/>
          <reference field="2" count="0" selected="0"/>
          <reference field="4" count="1">
            <x v="1"/>
          </reference>
        </references>
      </pivotArea>
    </format>
    <format dxfId="17">
      <pivotArea dataOnly="0" labelOnly="1" outline="0" axis="axisValues" fieldPosition="0"/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0" type="button" dataOnly="0" labelOnly="1" outline="0" axis="axisRow" fieldPosition="0"/>
    </format>
    <format dxfId="12">
      <pivotArea dataOnly="0" labelOnly="1" fieldPosition="0">
        <references count="1">
          <reference field="0" count="0"/>
        </references>
      </pivotArea>
    </format>
    <format dxfId="11">
      <pivotArea dataOnly="0" labelOnly="1" grandRow="1" outline="0" fieldPosition="0"/>
    </format>
    <format dxfId="10">
      <pivotArea dataOnly="0" labelOnly="1" fieldPosition="0">
        <references count="2">
          <reference field="0" count="0" selected="0"/>
          <reference field="2" count="0"/>
        </references>
      </pivotArea>
    </format>
    <format dxfId="9">
      <pivotArea dataOnly="0" labelOnly="1" fieldPosition="0">
        <references count="3">
          <reference field="0" count="0" selected="0"/>
          <reference field="2" count="0" selected="0"/>
          <reference field="4" count="1">
            <x v="1"/>
          </reference>
        </references>
      </pivotArea>
    </format>
    <format dxfId="8">
      <pivotArea dataOnly="0" labelOnly="1" outline="0" axis="axisValues" fieldPosition="0"/>
    </format>
    <format dxfId="6">
      <pivotArea field="0" type="button" dataOnly="0" labelOnly="1" outline="0" axis="axisRow" fieldPosition="0"/>
    </format>
    <format dxfId="5">
      <pivotArea outline="0" collapsedLevelsAreSubtotals="1" fieldPosition="0"/>
    </format>
    <format dxfId="4">
      <pivotArea dataOnly="0" labelOnly="1" outline="0" axis="axisValues" fieldPosition="0"/>
    </format>
    <format dxfId="3">
      <pivotArea outline="0" collapsedLevelsAreSubtotals="1" fieldPosition="0"/>
    </format>
    <format dxfId="2">
      <pivotArea dataOnly="0" labelOnly="1" outline="0" axis="axisValues" fieldPosition="0"/>
    </format>
    <format dxfId="1">
      <pivotArea dataOnly="0" labelOnly="1" outline="0" axis="axisValues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66D4092-A58D-41F6-A5F1-C7A5A85B3FD5}" name="Таблица2" displayName="Таблица2" ref="B2:G12" totalsRowShown="0" headerRowDxfId="45" dataDxfId="44">
  <autoFilter ref="B2:G12" xr:uid="{866D4092-A58D-41F6-A5F1-C7A5A85B3FD5}"/>
  <tableColumns count="6">
    <tableColumn id="1" xr3:uid="{40F91084-F361-442C-B304-EF4B5EA5EFD6}" name="телефонный номер" dataDxfId="37"/>
    <tableColumn id="2" xr3:uid="{0FB915D6-2491-453D-B01B-7DBC6B1B62D2}" name="тип события" dataDxfId="38"/>
    <tableColumn id="4" xr3:uid="{3D05631C-17F7-4666-B1A1-4C4EF55744AF}" name="дата" dataDxfId="43"/>
    <tableColumn id="3" xr3:uid="{1C0521EA-35B5-47B1-A51F-69214BF873D3}" name="момент времени" dataDxfId="42"/>
    <tableColumn id="5" xr3:uid="{C6C9F787-578B-4D02-A84B-94F87EF20ADA}" name="продолжительность подключения" dataDxfId="41">
      <calculatedColumnFormula array="1">IF(C3="Отключение",(E3-LOOKUP(2,1/($B2:B$4=B3),$E2:E$4)),0)</calculatedColumnFormula>
    </tableColumn>
    <tableColumn id="6" xr3:uid="{15FEA422-8707-44D4-8ABD-D39A91C00080}" name="оплата" dataDxfId="3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AFA721-9974-4B80-A974-1FB0F86B265D}" name="Таблица1" displayName="Таблица1" ref="B2:C11" totalsRowShown="0">
  <autoFilter ref="B2:C11" xr:uid="{DBAFA721-9974-4B80-A974-1FB0F86B265D}"/>
  <tableColumns count="2">
    <tableColumn id="1" xr3:uid="{2A7091DE-5D3A-4F78-9A50-01D91DC35602}" name="зарегистрированные клиенты" dataDxfId="40"/>
    <tableColumn id="2" xr3:uid="{2E3694FC-33DB-409A-8122-E113F03CDD2B}" name="телефонный номер" dataDxfId="3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37993-6A19-4AB6-9A41-17599AEA2D7D}">
  <dimension ref="B2:I12"/>
  <sheetViews>
    <sheetView tabSelected="1" workbookViewId="0">
      <selection activeCell="D19" sqref="D19"/>
    </sheetView>
  </sheetViews>
  <sheetFormatPr defaultRowHeight="14.4" x14ac:dyDescent="0.3"/>
  <cols>
    <col min="2" max="7" width="25.109375" customWidth="1"/>
    <col min="8" max="8" width="8.88671875" customWidth="1"/>
    <col min="9" max="9" width="25.109375" customWidth="1"/>
  </cols>
  <sheetData>
    <row r="2" spans="2:9" ht="28.8" customHeight="1" x14ac:dyDescent="0.3">
      <c r="B2" s="4" t="s">
        <v>0</v>
      </c>
      <c r="C2" s="4" t="s">
        <v>1</v>
      </c>
      <c r="D2" s="3" t="s">
        <v>15</v>
      </c>
      <c r="E2" s="4" t="s">
        <v>4</v>
      </c>
      <c r="F2" s="8" t="s">
        <v>18</v>
      </c>
      <c r="G2" s="3" t="s">
        <v>20</v>
      </c>
      <c r="I2" s="1" t="s">
        <v>19</v>
      </c>
    </row>
    <row r="3" spans="2:9" x14ac:dyDescent="0.3">
      <c r="B3" s="10">
        <v>1111111</v>
      </c>
      <c r="C3" s="4" t="s">
        <v>2</v>
      </c>
      <c r="D3" s="7">
        <v>44217</v>
      </c>
      <c r="E3" s="5">
        <v>0.52430555555555558</v>
      </c>
      <c r="F3" s="5" cm="1">
        <f t="array" ref="F3">IF(C3="Отключение",(E3-LOOKUP(2,1/($B1:B$4=B3),$E1:E$4)),0)</f>
        <v>0</v>
      </c>
      <c r="G3" s="12">
        <f>IF(C3="Отключение",F3*1440*$I$3,0)</f>
        <v>0</v>
      </c>
      <c r="I3" s="9">
        <v>5</v>
      </c>
    </row>
    <row r="4" spans="2:9" x14ac:dyDescent="0.3">
      <c r="B4" s="10">
        <v>2222222</v>
      </c>
      <c r="C4" s="4" t="s">
        <v>2</v>
      </c>
      <c r="D4" s="7">
        <v>44217</v>
      </c>
      <c r="E4" s="5">
        <v>0.56597222222222199</v>
      </c>
      <c r="F4" s="5" cm="1">
        <f t="array" ref="F4">IF(C4="Отключение",(E4-LOOKUP(2,1/($B2:B$4=B4),$E2:E$4)),0)</f>
        <v>0</v>
      </c>
      <c r="G4" s="12">
        <f>IF(C4="Отключение",F4*1440*$I$3,0)</f>
        <v>0</v>
      </c>
    </row>
    <row r="5" spans="2:9" x14ac:dyDescent="0.3">
      <c r="B5" s="10">
        <v>1111111</v>
      </c>
      <c r="C5" s="4" t="s">
        <v>3</v>
      </c>
      <c r="D5" s="7">
        <v>44217</v>
      </c>
      <c r="E5" s="5">
        <v>0.60763888888888895</v>
      </c>
      <c r="F5" s="5" cm="1">
        <f t="array" ref="F5">IF(C5="Отключение",(E5-LOOKUP(2,1/($B3:B$4=B5),$E3:E$4)),0)</f>
        <v>8.333333333333337E-2</v>
      </c>
      <c r="G5" s="12">
        <f t="shared" ref="G5:G12" si="0">IF(C5="Отключение",F5*1440*$I$3,0)</f>
        <v>600.00000000000023</v>
      </c>
    </row>
    <row r="6" spans="2:9" x14ac:dyDescent="0.3">
      <c r="B6" s="10">
        <v>3333333</v>
      </c>
      <c r="C6" s="4" t="s">
        <v>2</v>
      </c>
      <c r="D6" s="7">
        <v>44217</v>
      </c>
      <c r="E6" s="5">
        <v>0.64930555555555602</v>
      </c>
      <c r="F6" s="5" cm="1">
        <f t="array" ref="F6">IF(C6="Отключение",(E6-LOOKUP(2,1/($B4:B$4=B6),$E4:E$4)),0)</f>
        <v>0</v>
      </c>
      <c r="G6" s="12">
        <f t="shared" si="0"/>
        <v>0</v>
      </c>
    </row>
    <row r="7" spans="2:9" x14ac:dyDescent="0.3">
      <c r="B7" s="10">
        <v>5555555</v>
      </c>
      <c r="C7" s="4" t="s">
        <v>2</v>
      </c>
      <c r="D7" s="7">
        <v>44217</v>
      </c>
      <c r="E7" s="5">
        <v>0.66666666666666663</v>
      </c>
      <c r="F7" s="5" cm="1">
        <f t="array" ref="F7">IF(C7="Отключение",(E7-LOOKUP(2,1/($B$4:B5=B7),$E$4:E5)),0)</f>
        <v>0</v>
      </c>
      <c r="G7" s="12">
        <f t="shared" si="0"/>
        <v>0</v>
      </c>
    </row>
    <row r="8" spans="2:9" x14ac:dyDescent="0.3">
      <c r="B8" s="10">
        <v>6666666</v>
      </c>
      <c r="C8" s="4" t="s">
        <v>2</v>
      </c>
      <c r="D8" s="7">
        <v>44217</v>
      </c>
      <c r="E8" s="5">
        <v>0.73263888888888895</v>
      </c>
      <c r="F8" s="5" cm="1">
        <f t="array" ref="F8">IF(C8="Отключение",(E8-LOOKUP(2,1/($B$4:B6=B8),$E$4:E6)),0)</f>
        <v>0</v>
      </c>
      <c r="G8" s="12">
        <f t="shared" si="0"/>
        <v>0</v>
      </c>
    </row>
    <row r="9" spans="2:9" x14ac:dyDescent="0.3">
      <c r="B9" s="10">
        <v>2222222</v>
      </c>
      <c r="C9" s="4" t="s">
        <v>3</v>
      </c>
      <c r="D9" s="7">
        <v>44217</v>
      </c>
      <c r="E9" s="5">
        <v>0.77430555555555602</v>
      </c>
      <c r="F9" s="5" cm="1">
        <f t="array" ref="F9">IF(C9="Отключение",(E9-LOOKUP(2,1/($B$4:B7=B9),$E$4:E7)),0)</f>
        <v>0.20833333333333404</v>
      </c>
      <c r="G9" s="12">
        <f t="shared" si="0"/>
        <v>1500.000000000005</v>
      </c>
    </row>
    <row r="10" spans="2:9" x14ac:dyDescent="0.3">
      <c r="B10" s="10">
        <v>3333333</v>
      </c>
      <c r="C10" s="4" t="s">
        <v>3</v>
      </c>
      <c r="D10" s="7">
        <v>44217</v>
      </c>
      <c r="E10" s="5">
        <v>0.81597222222222199</v>
      </c>
      <c r="F10" s="5" cm="1">
        <f t="array" ref="F10">IF(C10="Отключение",(E10-LOOKUP(2,1/($B$4:B8=B10),$E$4:E8)),0)</f>
        <v>0.16666666666666596</v>
      </c>
      <c r="G10" s="12">
        <f t="shared" si="0"/>
        <v>1199.999999999995</v>
      </c>
    </row>
    <row r="11" spans="2:9" x14ac:dyDescent="0.3">
      <c r="B11" s="10">
        <v>5555555</v>
      </c>
      <c r="C11" s="4" t="s">
        <v>3</v>
      </c>
      <c r="D11" s="7">
        <v>44217</v>
      </c>
      <c r="E11" s="5">
        <v>0.85763888888888895</v>
      </c>
      <c r="F11" s="5" cm="1">
        <f t="array" ref="F11">IF(C11="Отключение",(E11-LOOKUP(2,1/($B$4:B9=B11),$E$4:E9)),0)</f>
        <v>0.19097222222222232</v>
      </c>
      <c r="G11" s="12">
        <f t="shared" si="0"/>
        <v>1375.0000000000005</v>
      </c>
    </row>
    <row r="12" spans="2:9" x14ac:dyDescent="0.3">
      <c r="B12" s="11">
        <v>6666666</v>
      </c>
      <c r="C12" s="4" t="s">
        <v>3</v>
      </c>
      <c r="D12" s="7">
        <v>44217</v>
      </c>
      <c r="E12" s="5">
        <v>0.89930555555555602</v>
      </c>
      <c r="F12" s="5" cm="1">
        <f t="array" ref="F12">IF(C12="Отключение",(E12-LOOKUP(2,1/($B$4:B10=B12),$E$4:E10)),0)</f>
        <v>0.16666666666666707</v>
      </c>
      <c r="G12" s="12">
        <f t="shared" si="0"/>
        <v>1200.000000000003</v>
      </c>
    </row>
  </sheetData>
  <conditionalFormatting sqref="C3:D12">
    <cfRule type="cellIs" dxfId="35" priority="3" operator="equal">
      <formula>"подключение"</formula>
    </cfRule>
  </conditionalFormatting>
  <conditionalFormatting sqref="C3:D12">
    <cfRule type="cellIs" dxfId="34" priority="1" operator="equal">
      <formula>"отключение"</formula>
    </cfRule>
    <cfRule type="cellIs" dxfId="33" priority="2" operator="equal">
      <formula>"подключение"</formula>
    </cfRule>
  </conditionalFormatting>
  <dataValidations count="1">
    <dataValidation type="list" allowBlank="1" showInputMessage="1" showErrorMessage="1" sqref="C3:C12" xr:uid="{816AC0F5-2761-41E2-A149-F5618F4825F5}">
      <formula1>"подключение, отключение"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02E350F-61E8-4385-98F9-6F591460AED4}">
          <x14:formula1>
            <xm:f>' Телефонный справочник'!$C$3:$C$11</xm:f>
          </x14:formula1>
          <xm:sqref>B3:B12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A27FD-448C-4654-8700-DB284B23E1E9}">
  <dimension ref="B2:C11"/>
  <sheetViews>
    <sheetView workbookViewId="0">
      <selection activeCell="B1" sqref="B1:B1048576"/>
    </sheetView>
  </sheetViews>
  <sheetFormatPr defaultRowHeight="14.4" x14ac:dyDescent="0.3"/>
  <cols>
    <col min="2" max="3" width="33.109375" style="2" customWidth="1"/>
    <col min="4" max="4" width="8.88671875" customWidth="1"/>
  </cols>
  <sheetData>
    <row r="2" spans="2:3" x14ac:dyDescent="0.3">
      <c r="B2" s="2" t="s">
        <v>5</v>
      </c>
      <c r="C2" s="2" t="s">
        <v>0</v>
      </c>
    </row>
    <row r="3" spans="2:3" x14ac:dyDescent="0.3">
      <c r="B3" s="2" t="s">
        <v>6</v>
      </c>
      <c r="C3" s="6">
        <v>1111111</v>
      </c>
    </row>
    <row r="4" spans="2:3" x14ac:dyDescent="0.3">
      <c r="B4" s="2" t="s">
        <v>7</v>
      </c>
      <c r="C4" s="6">
        <v>2222222</v>
      </c>
    </row>
    <row r="5" spans="2:3" x14ac:dyDescent="0.3">
      <c r="B5" s="2" t="s">
        <v>8</v>
      </c>
      <c r="C5" s="6">
        <v>3333333</v>
      </c>
    </row>
    <row r="6" spans="2:3" x14ac:dyDescent="0.3">
      <c r="B6" s="2" t="s">
        <v>9</v>
      </c>
      <c r="C6" s="6">
        <v>4444444</v>
      </c>
    </row>
    <row r="7" spans="2:3" x14ac:dyDescent="0.3">
      <c r="B7" s="2" t="s">
        <v>10</v>
      </c>
      <c r="C7" s="6">
        <v>5555555</v>
      </c>
    </row>
    <row r="8" spans="2:3" x14ac:dyDescent="0.3">
      <c r="B8" s="2" t="s">
        <v>11</v>
      </c>
      <c r="C8" s="6">
        <v>6666666</v>
      </c>
    </row>
    <row r="9" spans="2:3" x14ac:dyDescent="0.3">
      <c r="B9" s="2" t="s">
        <v>12</v>
      </c>
      <c r="C9" s="6">
        <v>7777777</v>
      </c>
    </row>
    <row r="10" spans="2:3" x14ac:dyDescent="0.3">
      <c r="B10" s="2" t="s">
        <v>13</v>
      </c>
      <c r="C10" s="6">
        <v>8888888</v>
      </c>
    </row>
    <row r="11" spans="2:3" x14ac:dyDescent="0.3">
      <c r="B11" s="2" t="s">
        <v>14</v>
      </c>
      <c r="C11" s="6">
        <v>9999999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305E-A944-474E-A19E-A6D0A9746174}">
  <dimension ref="B3:C7"/>
  <sheetViews>
    <sheetView workbookViewId="0">
      <selection activeCell="C13" sqref="C13"/>
    </sheetView>
  </sheetViews>
  <sheetFormatPr defaultRowHeight="14.4" x14ac:dyDescent="0.3"/>
  <cols>
    <col min="2" max="3" width="33.109375" customWidth="1"/>
    <col min="4" max="4" width="13.21875" bestFit="1" customWidth="1"/>
    <col min="5" max="5" width="11.33203125" bestFit="1" customWidth="1"/>
  </cols>
  <sheetData>
    <row r="3" spans="2:3" x14ac:dyDescent="0.3">
      <c r="B3" s="17" t="s">
        <v>16</v>
      </c>
      <c r="C3" s="13" t="s">
        <v>17</v>
      </c>
    </row>
    <row r="4" spans="2:3" x14ac:dyDescent="0.3">
      <c r="B4" s="14" t="s">
        <v>6</v>
      </c>
      <c r="C4" s="18">
        <v>600.00000000000023</v>
      </c>
    </row>
    <row r="5" spans="2:3" x14ac:dyDescent="0.3">
      <c r="B5" s="15">
        <v>44217</v>
      </c>
      <c r="C5" s="18">
        <v>600.00000000000023</v>
      </c>
    </row>
    <row r="6" spans="2:3" x14ac:dyDescent="0.3">
      <c r="B6" s="16">
        <v>8.3333333333333329E-2</v>
      </c>
      <c r="C6" s="18">
        <v>600.00000000000023</v>
      </c>
    </row>
    <row r="7" spans="2:3" x14ac:dyDescent="0.3">
      <c r="B7" s="14" t="s">
        <v>21</v>
      </c>
      <c r="C7" s="18">
        <v>600.00000000000023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Регистрационный журнал</vt:lpstr>
      <vt:lpstr> Телефонный справочник</vt:lpstr>
      <vt:lpstr>Сводный отчет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Nikita Gordeev</dc:creator>
  <cp:lastModifiedBy>Nikita Gordeev</cp:lastModifiedBy>
  <dcterms:created xsi:type="dcterms:W3CDTF">2021-11-24T08:25:05Z</dcterms:created>
  <dcterms:modified xsi:type="dcterms:W3CDTF">2021-12-16T06:14:46Z</dcterms:modified>
</cp:coreProperties>
</file>